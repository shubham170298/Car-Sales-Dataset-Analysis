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hidePivotFieldList="1" defaultThemeVersion="124226"/>
  <mc:AlternateContent xmlns:mc="http://schemas.openxmlformats.org/markup-compatibility/2006">
    <mc:Choice Requires="x15">
      <x15ac:absPath xmlns:x15ac="http://schemas.microsoft.com/office/spreadsheetml/2010/11/ac" url="C:\Users\Shubham\Downloads\"/>
    </mc:Choice>
  </mc:AlternateContent>
  <xr:revisionPtr revIDLastSave="0" documentId="13_ncr:1_{F2337AFB-A2EE-4194-B73C-F412FB2B77DF}" xr6:coauthVersionLast="47" xr6:coauthVersionMax="47" xr10:uidLastSave="{00000000-0000-0000-0000-000000000000}"/>
  <bookViews>
    <workbookView xWindow="-108" yWindow="-108" windowWidth="23256" windowHeight="12456" activeTab="2" xr2:uid="{00000000-000D-0000-FFFF-FFFF00000000}"/>
  </bookViews>
  <sheets>
    <sheet name="Sheet1" sheetId="1" r:id="rId1"/>
    <sheet name="Sheet2" sheetId="2" r:id="rId2"/>
    <sheet name="Sheet3" sheetId="3" r:id="rId3"/>
  </sheets>
  <definedNames>
    <definedName name="_xlnm._FilterDatabase" localSheetId="0" hidden="1">Sheet1!$A$1:$M$101</definedName>
    <definedName name="Slicer_Car_Model">#N/A</definedName>
  </definedNames>
  <calcPr calcId="191029"/>
  <pivotCaches>
    <pivotCache cacheId="0" r:id="rId4"/>
    <pivotCache cacheId="1" r:id="rId5"/>
    <pivotCache cacheId="2" r:id="rId6"/>
    <pivotCache cacheId="3" r:id="rId7"/>
    <pivotCache cacheId="4"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2" i="1" l="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alcChain>
</file>

<file path=xl/sharedStrings.xml><?xml version="1.0" encoding="utf-8"?>
<sst xmlns="http://schemas.openxmlformats.org/spreadsheetml/2006/main" count="1067" uniqueCount="206">
  <si>
    <t>Date of Sale</t>
  </si>
  <si>
    <t>City</t>
  </si>
  <si>
    <t>Salesperson</t>
  </si>
  <si>
    <t>Car Model</t>
  </si>
  <si>
    <t>Variant</t>
  </si>
  <si>
    <t>Fuel Type</t>
  </si>
  <si>
    <t>Transmission</t>
  </si>
  <si>
    <t>Units Sold</t>
  </si>
  <si>
    <t>Sale Price (₹)</t>
  </si>
  <si>
    <t>Discount (₹)</t>
  </si>
  <si>
    <t>Payment Mode</t>
  </si>
  <si>
    <t>Customer Name</t>
  </si>
  <si>
    <t>2024-11-19</t>
  </si>
  <si>
    <t>2024-10-17</t>
  </si>
  <si>
    <t>2024-10-11</t>
  </si>
  <si>
    <t>2024-11-26</t>
  </si>
  <si>
    <t>2024-10-27</t>
  </si>
  <si>
    <t>2024-10-25</t>
  </si>
  <si>
    <t>2024-10-24</t>
  </si>
  <si>
    <t>2024-10-18</t>
  </si>
  <si>
    <t>2024-10-16</t>
  </si>
  <si>
    <t>2024-11-22</t>
  </si>
  <si>
    <t>2024-11-13</t>
  </si>
  <si>
    <t>2024-10-15</t>
  </si>
  <si>
    <t>2024-11-16</t>
  </si>
  <si>
    <t>2024-11-06</t>
  </si>
  <si>
    <t>2024-10-12</t>
  </si>
  <si>
    <t>2024-10-23</t>
  </si>
  <si>
    <t>2024-11-11</t>
  </si>
  <si>
    <t>2024-11-17</t>
  </si>
  <si>
    <t>2024-11-14</t>
  </si>
  <si>
    <t>2024-10-22</t>
  </si>
  <si>
    <t>2024-11-24</t>
  </si>
  <si>
    <t>2024-11-20</t>
  </si>
  <si>
    <t>2024-11-23</t>
  </si>
  <si>
    <t>2024-11-05</t>
  </si>
  <si>
    <t>2024-11-07</t>
  </si>
  <si>
    <t>2024-11-30</t>
  </si>
  <si>
    <t>2024-10-10</t>
  </si>
  <si>
    <t>2024-11-27</t>
  </si>
  <si>
    <t>2024-10-20</t>
  </si>
  <si>
    <t>2024-10-31</t>
  </si>
  <si>
    <t>2024-10-19</t>
  </si>
  <si>
    <t>2024-11-03</t>
  </si>
  <si>
    <t>2024-11-01</t>
  </si>
  <si>
    <t>2024-10-26</t>
  </si>
  <si>
    <t>2024-11-25</t>
  </si>
  <si>
    <t>2024-11-08</t>
  </si>
  <si>
    <t>2024-10-28</t>
  </si>
  <si>
    <t>2024-11-18</t>
  </si>
  <si>
    <t>2024-11-02</t>
  </si>
  <si>
    <t>2024-11-15</t>
  </si>
  <si>
    <t>2024-10-14</t>
  </si>
  <si>
    <t>2024-11-21</t>
  </si>
  <si>
    <t>2024-11-28</t>
  </si>
  <si>
    <t>Bangalore</t>
  </si>
  <si>
    <t>Delhi</t>
  </si>
  <si>
    <t>Mumbai</t>
  </si>
  <si>
    <t>Pune</t>
  </si>
  <si>
    <t>Hyderabad</t>
  </si>
  <si>
    <t>Chennai</t>
  </si>
  <si>
    <t>Anjali Das</t>
  </si>
  <si>
    <t>Amit Sharma</t>
  </si>
  <si>
    <t>Priya Menon</t>
  </si>
  <si>
    <t>Vikas Rao</t>
  </si>
  <si>
    <t>Neha Singh</t>
  </si>
  <si>
    <t>Ravi Patel</t>
  </si>
  <si>
    <t>Seltos</t>
  </si>
  <si>
    <t>Sonet</t>
  </si>
  <si>
    <t>EV6</t>
  </si>
  <si>
    <t>Carens</t>
  </si>
  <si>
    <t>HTK</t>
  </si>
  <si>
    <t>GTX</t>
  </si>
  <si>
    <t>HTX</t>
  </si>
  <si>
    <t>X-Line</t>
  </si>
  <si>
    <t>HTE</t>
  </si>
  <si>
    <t>Electric</t>
  </si>
  <si>
    <t>Petrol</t>
  </si>
  <si>
    <t>Diesel</t>
  </si>
  <si>
    <t>Manual</t>
  </si>
  <si>
    <t>Automatic</t>
  </si>
  <si>
    <t>Lease</t>
  </si>
  <si>
    <t>Cash</t>
  </si>
  <si>
    <t>Finance</t>
  </si>
  <si>
    <t>Aarav Mehta</t>
  </si>
  <si>
    <t>Priya Sharma</t>
  </si>
  <si>
    <t>Rohan Nair</t>
  </si>
  <si>
    <t>Sneha Verma</t>
  </si>
  <si>
    <t>Aditya Iyer</t>
  </si>
  <si>
    <t>Neha Reddy</t>
  </si>
  <si>
    <t>Karan Patel</t>
  </si>
  <si>
    <t>Aishwarya Rao</t>
  </si>
  <si>
    <t>Vivek Bansal</t>
  </si>
  <si>
    <t>Divya Singh</t>
  </si>
  <si>
    <t>Arjun Malhotra</t>
  </si>
  <si>
    <t>Tanya Gupta</t>
  </si>
  <si>
    <t>Rohit Deshmukh</t>
  </si>
  <si>
    <t>Pooja Menon</t>
  </si>
  <si>
    <t>Sameer Khan</t>
  </si>
  <si>
    <t>Kritika Joshi</t>
  </si>
  <si>
    <t>Harshad Shetty</t>
  </si>
  <si>
    <t>Sakshi Aggarwal</t>
  </si>
  <si>
    <t>Deepak Yadav</t>
  </si>
  <si>
    <t>Ananya Pillai</t>
  </si>
  <si>
    <t>Saurabh Jain</t>
  </si>
  <si>
    <t>Ritu Chauhan</t>
  </si>
  <si>
    <t>Manish Dubey</t>
  </si>
  <si>
    <t>Isha Kapoor</t>
  </si>
  <si>
    <t>Nidhi Soni</t>
  </si>
  <si>
    <t>Abhishek Tiwari</t>
  </si>
  <si>
    <t>Shreya Das</t>
  </si>
  <si>
    <t>Kunal Chatterjee</t>
  </si>
  <si>
    <t>Aditi Mishra</t>
  </si>
  <si>
    <t>Mohit Chhabra</t>
  </si>
  <si>
    <t>Rachita Paul</t>
  </si>
  <si>
    <t>Yash Ghosh</t>
  </si>
  <si>
    <t>Kavita Arora</t>
  </si>
  <si>
    <t>Rajeev Sharma</t>
  </si>
  <si>
    <t>Rupal Dey</t>
  </si>
  <si>
    <t>Chetan Mehra</t>
  </si>
  <si>
    <t>Preeti Ramaswamy</t>
  </si>
  <si>
    <t>Ashish Rao</t>
  </si>
  <si>
    <t>Payal Mukherjee</t>
  </si>
  <si>
    <t>Devansh Chauhan</t>
  </si>
  <si>
    <t>Bhavna Sethi</t>
  </si>
  <si>
    <t>Varun Iyer</t>
  </si>
  <si>
    <t>Snehal Patil</t>
  </si>
  <si>
    <t>Rajat Kapoor</t>
  </si>
  <si>
    <t>Megha Nair</t>
  </si>
  <si>
    <t>Nikhil Bhatia</t>
  </si>
  <si>
    <t>Riya D’Souza</t>
  </si>
  <si>
    <t>Aman Khanna</t>
  </si>
  <si>
    <t>Charvi Gaur</t>
  </si>
  <si>
    <t>Sandeep Menon</t>
  </si>
  <si>
    <t>Shruti Joshi</t>
  </si>
  <si>
    <t>Chirag Shah</t>
  </si>
  <si>
    <t>Tanvi Reddy</t>
  </si>
  <si>
    <t>Vipul Jain</t>
  </si>
  <si>
    <t>Garima Bhatnagar</t>
  </si>
  <si>
    <t>Parth Desai</t>
  </si>
  <si>
    <t>Mitali Basu</t>
  </si>
  <si>
    <t>Anuj Kumar</t>
  </si>
  <si>
    <t>Sanjana Pillai</t>
  </si>
  <si>
    <t>Hardik Trivedi</t>
  </si>
  <si>
    <t>Kriti Mehta</t>
  </si>
  <si>
    <t>Laksh Arora</t>
  </si>
  <si>
    <t>Simran Kaur</t>
  </si>
  <si>
    <t>Rajesh Reddy</t>
  </si>
  <si>
    <t>Aakriti Bansal</t>
  </si>
  <si>
    <t>Deepesh Sharma</t>
  </si>
  <si>
    <t>Nisha Varma</t>
  </si>
  <si>
    <t>Prateek Sinha</t>
  </si>
  <si>
    <t>Muskan Kapoor</t>
  </si>
  <si>
    <t>Ajay Nair</t>
  </si>
  <si>
    <t>Tania Paul</t>
  </si>
  <si>
    <t>Sahil Agarwal</t>
  </si>
  <si>
    <t>Diya Joshi</t>
  </si>
  <si>
    <t>Viren Patel</t>
  </si>
  <si>
    <t>Esha Dey</t>
  </si>
  <si>
    <t>Jatin Malhotra</t>
  </si>
  <si>
    <t>Sonal Ghosh</t>
  </si>
  <si>
    <t>Harsh Vora</t>
  </si>
  <si>
    <t>Rachna Iyer</t>
  </si>
  <si>
    <t>Sidharth Rao</t>
  </si>
  <si>
    <t>Rupal Singh</t>
  </si>
  <si>
    <t>Nishant Mehta</t>
  </si>
  <si>
    <t>Ishita Reddy</t>
  </si>
  <si>
    <t>Rakesh Sharma</t>
  </si>
  <si>
    <t>Komal Bhatt</t>
  </si>
  <si>
    <t>Tejas Khanna</t>
  </si>
  <si>
    <t>Anushka Menon</t>
  </si>
  <si>
    <t>Arnav Jain</t>
  </si>
  <si>
    <t>Sneha Basu</t>
  </si>
  <si>
    <t>Dev Mishra</t>
  </si>
  <si>
    <t>Anjali Nair</t>
  </si>
  <si>
    <t>Puneet Sethi</t>
  </si>
  <si>
    <t>Manya Kapoor</t>
  </si>
  <si>
    <t>Harshit Agarwal</t>
  </si>
  <si>
    <t>Shalini Dubey</t>
  </si>
  <si>
    <t>Keshav Tiwari</t>
  </si>
  <si>
    <t>Radhika Arora</t>
  </si>
  <si>
    <t>Nitin Chatterjee</t>
  </si>
  <si>
    <t>Aanya Verma</t>
  </si>
  <si>
    <t>Gaurav Singh</t>
  </si>
  <si>
    <t>Speed Auto Kia Pvt Ltd</t>
  </si>
  <si>
    <t>Admire Wheels  Pvt Ltd</t>
  </si>
  <si>
    <t>Kia Motors Pvt Ltd</t>
  </si>
  <si>
    <t>Admire Wheels Pvt Ltd</t>
  </si>
  <si>
    <t>Star Kia Pvt Ltd</t>
  </si>
  <si>
    <t>Elite Kia Pvt Ltd</t>
  </si>
  <si>
    <t>Royal Kia Pvt Ltd</t>
  </si>
  <si>
    <t>Kia Motors  Pvt Ltd</t>
  </si>
  <si>
    <t>Royal Kia  Pvt Ltd</t>
  </si>
  <si>
    <t>Star Kia  Pvt Ltd</t>
  </si>
  <si>
    <t>Elite Kia  Pvt Ltd</t>
  </si>
  <si>
    <t>Delearship Name</t>
  </si>
  <si>
    <t>Row Labels</t>
  </si>
  <si>
    <t>Grand Total</t>
  </si>
  <si>
    <t>Sum of Sale Price (₹)</t>
  </si>
  <si>
    <t>Count of Car Model</t>
  </si>
  <si>
    <t>Sum of Units Sold</t>
  </si>
  <si>
    <t>Average D</t>
  </si>
  <si>
    <t>S Average</t>
  </si>
  <si>
    <t>Sum of Average D</t>
  </si>
  <si>
    <t>Sum of S Average</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</si>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</sst>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4009]\ * #,##0.0_ ;_ [$₹-4009]\ * \-#,##0.0_ ;_ [$₹-4009]\ * &quot;-&quot;??_ ;_ @_ "/>
  </numFmts>
  <fonts count="3" x14ac:knownFonts="1">
    <font>
      <sz val="11"/>
      <color theme="1"/>
      <name val="Calibri"/>
      <family val="2"/>
      <scheme val="minor"/>
    </font>
    <font>
      <b/>
      <sz val="11"/>
      <color theme="1"/>
      <name val="Times New Roman"/>
      <family val="1"/>
    </font>
    <font>
      <sz val="11"/>
      <color theme="1"/>
      <name val="Times New Roman"/>
      <family val="1"/>
    </font>
  </fonts>
  <fills count="2">
    <fill>
      <patternFill patternType="none"/>
    </fill>
    <fill>
      <patternFill patternType="gray125"/>
    </fill>
  </fills>
  <borders count="20">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bottom style="thin">
        <color auto="1"/>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36">
    <xf numFmtId="0" fontId="0" fillId="0" borderId="0" xfId="0"/>
    <xf numFmtId="164" fontId="0" fillId="0" borderId="0" xfId="0" applyNumberFormat="1" applyAlignment="1">
      <alignment horizontal="center" vertical="center"/>
    </xf>
    <xf numFmtId="164" fontId="0" fillId="0" borderId="0" xfId="0" applyNumberFormat="1"/>
    <xf numFmtId="0" fontId="0" fillId="0" borderId="0" xfId="0" applyAlignment="1">
      <alignment horizontal="left" indent="2"/>
    </xf>
    <xf numFmtId="0" fontId="0" fillId="0" borderId="0" xfId="0" applyAlignment="1">
      <alignment horizontal="left" indent="3"/>
    </xf>
    <xf numFmtId="0" fontId="2" fillId="0" borderId="1" xfId="0" applyFont="1" applyBorder="1"/>
    <xf numFmtId="164" fontId="2" fillId="0" borderId="1" xfId="0" applyNumberFormat="1" applyFont="1" applyBorder="1" applyAlignment="1">
      <alignment horizontal="center" vertical="center"/>
    </xf>
    <xf numFmtId="164" fontId="2" fillId="0" borderId="1" xfId="0" applyNumberFormat="1" applyFont="1" applyBorder="1"/>
    <xf numFmtId="0" fontId="2" fillId="0" borderId="1" xfId="0" applyFont="1" applyBorder="1" applyAlignment="1">
      <alignment horizontal="left" indent="3"/>
    </xf>
    <xf numFmtId="2" fontId="0" fillId="0" borderId="0" xfId="0" applyNumberFormat="1"/>
    <xf numFmtId="2" fontId="2" fillId="0" borderId="2" xfId="0" applyNumberFormat="1" applyFont="1" applyBorder="1"/>
    <xf numFmtId="0" fontId="2" fillId="0" borderId="3" xfId="0" applyFont="1" applyBorder="1" applyAlignment="1">
      <alignment horizontal="left" indent="2"/>
    </xf>
    <xf numFmtId="2" fontId="1" fillId="0" borderId="4" xfId="0" applyNumberFormat="1" applyFont="1" applyBorder="1" applyAlignment="1">
      <alignment horizontal="center" vertical="top"/>
    </xf>
    <xf numFmtId="0" fontId="1" fillId="0" borderId="5" xfId="0" applyFont="1" applyBorder="1" applyAlignment="1">
      <alignment horizontal="center" vertical="top"/>
    </xf>
    <xf numFmtId="164" fontId="1" fillId="0" borderId="5" xfId="0" applyNumberFormat="1" applyFont="1" applyBorder="1" applyAlignment="1">
      <alignment horizontal="center" vertical="center"/>
    </xf>
    <xf numFmtId="164" fontId="1" fillId="0" borderId="5" xfId="0" applyNumberFormat="1" applyFont="1" applyBorder="1" applyAlignment="1">
      <alignment horizontal="center" vertical="top"/>
    </xf>
    <xf numFmtId="0" fontId="1" fillId="0" borderId="5" xfId="0" applyFont="1" applyBorder="1" applyAlignment="1">
      <alignment horizontal="left" vertical="top" indent="3"/>
    </xf>
    <xf numFmtId="0" fontId="1" fillId="0" borderId="6" xfId="0" applyFont="1" applyBorder="1" applyAlignment="1">
      <alignment horizontal="left" vertical="top" indent="2"/>
    </xf>
    <xf numFmtId="2" fontId="2" fillId="0" borderId="7" xfId="0" applyNumberFormat="1" applyFont="1" applyBorder="1"/>
    <xf numFmtId="0" fontId="2" fillId="0" borderId="8" xfId="0" applyFont="1" applyBorder="1"/>
    <xf numFmtId="164" fontId="2" fillId="0" borderId="8" xfId="0" applyNumberFormat="1" applyFont="1" applyBorder="1" applyAlignment="1">
      <alignment horizontal="center" vertical="center"/>
    </xf>
    <xf numFmtId="164" fontId="2" fillId="0" borderId="8" xfId="0" applyNumberFormat="1" applyFont="1" applyBorder="1"/>
    <xf numFmtId="0" fontId="2" fillId="0" borderId="8" xfId="0" applyFont="1" applyBorder="1" applyAlignment="1">
      <alignment horizontal="left" indent="3"/>
    </xf>
    <xf numFmtId="0" fontId="2" fillId="0" borderId="9" xfId="0" applyFont="1" applyBorder="1" applyAlignment="1">
      <alignment horizontal="left" indent="2"/>
    </xf>
    <xf numFmtId="0" fontId="0" fillId="0" borderId="0" xfId="0" pivotButton="1"/>
    <xf numFmtId="0" fontId="0" fillId="0" borderId="0" xfId="0" applyAlignment="1">
      <alignment horizontal="left"/>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cellXfs>
  <cellStyles count="1">
    <cellStyle name="Normal" xfId="0" builtinId="0"/>
  </cellStyles>
  <dxfs count="18">
    <dxf>
      <numFmt numFmtId="164" formatCode="_ [$₹-4009]\ * #,##0.0_ ;_ [$₹-4009]\ * \-#,##0.0_ ;_ [$₹-4009]\ * &quot;-&quot;??_ ;_ @_ "/>
    </dxf>
    <dxf>
      <numFmt numFmtId="164" formatCode="_ [$₹-4009]\ * #,##0.0_ ;_ [$₹-4009]\ * \-#,##0.0_ ;_ [$₹-4009]\ * &quot;-&quot;??_ ;_ @_ "/>
    </dxf>
    <dxf>
      <font>
        <b val="0"/>
        <i val="0"/>
        <strike val="0"/>
        <condense val="0"/>
        <extend val="0"/>
        <outline val="0"/>
        <shadow val="0"/>
        <u val="none"/>
        <vertAlign val="baseline"/>
        <sz val="11"/>
        <color theme="1"/>
        <name val="Times New Roman"/>
        <family val="1"/>
        <scheme val="none"/>
      </font>
      <alignment horizontal="left" vertical="bottom" textRotation="0" wrapText="0" indent="2" justifyLastLine="0" shrinkToFit="0" readingOrder="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1"/>
        <color theme="1"/>
        <name val="Times New Roman"/>
        <family val="1"/>
        <scheme val="none"/>
      </font>
      <alignment horizontal="left" vertical="bottom" textRotation="0" wrapText="0" indent="3"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Times New Roman"/>
        <family val="1"/>
        <scheme val="none"/>
      </font>
      <numFmt numFmtId="164" formatCode="_ [$₹-4009]\ * #,##0.0_ ;_ [$₹-4009]\ * \-#,##0.0_ ;_ [$₹-4009]\ * &quot;-&quot;??_ ;_ @_ "/>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Times New Roman"/>
        <family val="1"/>
        <scheme val="none"/>
      </font>
      <numFmt numFmtId="164" formatCode="_ [$₹-4009]\ * #,##0.0_ ;_ [$₹-4009]\ * \-#,##0.0_ ;_ [$₹-4009]\ * &quot;-&quot;??_ ;_ @_ "/>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Times New Roman"/>
        <family val="1"/>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Times New Roman"/>
        <family val="1"/>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Times New Roman"/>
        <family val="1"/>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Times New Roman"/>
        <family val="1"/>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Times New Roman"/>
        <family val="1"/>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Times New Roman"/>
        <family val="1"/>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Times New Roman"/>
        <family val="1"/>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Times New Roman"/>
        <family val="1"/>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Times New Roman"/>
        <family val="1"/>
        <scheme val="none"/>
      </font>
      <numFmt numFmtId="2" formatCode="0.0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[Kia_Diwali_Car_Sales_Data_with_Customers.xlsx]Sheet2!PivotTable1</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sz="1200" b="1">
                <a:latin typeface="Arial Black" panose="020B0A04020102020204" pitchFamily="34" charset="0"/>
              </a:rPr>
              <a:t>Car Total Sales</a:t>
            </a:r>
          </a:p>
        </c:rich>
      </c:tx>
      <c:layout>
        <c:manualLayout>
          <c:xMode val="edge"/>
          <c:yMode val="edge"/>
          <c:x val="0.35614566929133851"/>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Sheet2!$D$5</c:f>
              <c:strCache>
                <c:ptCount val="1"/>
                <c:pt idx="0">
                  <c:v>Total</c:v>
                </c:pt>
              </c:strCache>
            </c:strRef>
          </c:tx>
          <c:spPr>
            <a:solidFill>
              <a:schemeClr val="accent2"/>
            </a:solidFill>
            <a:ln>
              <a:noFill/>
            </a:ln>
            <a:effectLst/>
          </c:spPr>
          <c:invertIfNegative val="0"/>
          <c:cat>
            <c:strRef>
              <c:f>Sheet2!$C$6:$C$10</c:f>
              <c:strCache>
                <c:ptCount val="4"/>
                <c:pt idx="0">
                  <c:v>Carens</c:v>
                </c:pt>
                <c:pt idx="1">
                  <c:v>EV6</c:v>
                </c:pt>
                <c:pt idx="2">
                  <c:v>Seltos</c:v>
                </c:pt>
                <c:pt idx="3">
                  <c:v>Sonet</c:v>
                </c:pt>
              </c:strCache>
            </c:strRef>
          </c:cat>
          <c:val>
            <c:numRef>
              <c:f>Sheet2!$D$6:$D$10</c:f>
              <c:numCache>
                <c:formatCode>_ [$₹-4009]\ * #,##0.0_ ;_ [$₹-4009]\ * \-#,##0.0_ ;_ [$₹-4009]\ * "-"??_ ;_ @_ </c:formatCode>
                <c:ptCount val="4"/>
                <c:pt idx="0">
                  <c:v>38403882</c:v>
                </c:pt>
                <c:pt idx="1">
                  <c:v>162883259</c:v>
                </c:pt>
                <c:pt idx="2">
                  <c:v>32019513</c:v>
                </c:pt>
                <c:pt idx="3">
                  <c:v>22298178</c:v>
                </c:pt>
              </c:numCache>
            </c:numRef>
          </c:val>
          <c:extLst>
            <c:ext xmlns:c16="http://schemas.microsoft.com/office/drawing/2014/chart" uri="{C3380CC4-5D6E-409C-BE32-E72D297353CC}">
              <c16:uniqueId val="{00000000-EBC7-4A04-B00D-9A5521C12F49}"/>
            </c:ext>
          </c:extLst>
        </c:ser>
        <c:dLbls>
          <c:showLegendKey val="0"/>
          <c:showVal val="0"/>
          <c:showCatName val="0"/>
          <c:showSerName val="0"/>
          <c:showPercent val="0"/>
          <c:showBubbleSize val="0"/>
        </c:dLbls>
        <c:gapWidth val="219"/>
        <c:overlap val="-27"/>
        <c:axId val="1443307264"/>
        <c:axId val="1443307744"/>
      </c:barChart>
      <c:catAx>
        <c:axId val="1443307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443307744"/>
        <c:crosses val="autoZero"/>
        <c:auto val="1"/>
        <c:lblAlgn val="ctr"/>
        <c:lblOffset val="100"/>
        <c:noMultiLvlLbl val="0"/>
      </c:catAx>
      <c:valAx>
        <c:axId val="1443307744"/>
        <c:scaling>
          <c:orientation val="minMax"/>
        </c:scaling>
        <c:delete val="1"/>
        <c:axPos val="l"/>
        <c:numFmt formatCode="_ [$₹-4009]\ * #,##0.0_ ;_ [$₹-4009]\ * \-#,##0.0_ ;_ [$₹-4009]\ * &quot;-&quot;??_ ;_ @_ " sourceLinked="1"/>
        <c:majorTickMark val="none"/>
        <c:minorTickMark val="none"/>
        <c:tickLblPos val="nextTo"/>
        <c:crossAx val="144330726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1" i="0" u="none" strike="noStrike" kern="1200" baseline="0">
                <a:solidFill>
                  <a:srgbClr val="7030A0"/>
                </a:solidFill>
                <a:latin typeface="Arial" panose="020B0604020202020204" pitchFamily="34" charset="0"/>
                <a:ea typeface="+mn-ea"/>
                <a:cs typeface="Arial" panose="020B0604020202020204" pitchFamily="34" charset="0"/>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Arial Black" panose="020B0A040201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atMod val="105000"/>
        </a:schemeClr>
      </a:solidFill>
      <a:prstDash val="solid"/>
      <a:round/>
    </a:ln>
    <a:effectLst>
      <a:glow rad="139700">
        <a:schemeClr val="accent5">
          <a:satMod val="175000"/>
          <a:alpha val="40000"/>
        </a:schemeClr>
      </a:glow>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[Kia_Diwali_Car_Sales_Data_with_Customers.xlsx]Sheet2!PivotTable2</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sz="1200" b="1">
                <a:latin typeface="Arial Black" panose="020B0A04020102020204" pitchFamily="34" charset="0"/>
              </a:rPr>
              <a:t>City&amp;Unit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Sheet2!$M$10</c:f>
              <c:strCache>
                <c:ptCount val="1"/>
                <c:pt idx="0">
                  <c:v>Count of Car Model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Sheet2!$L$11:$L$17</c:f>
              <c:strCache>
                <c:ptCount val="6"/>
                <c:pt idx="0">
                  <c:v>Bangalore</c:v>
                </c:pt>
                <c:pt idx="1">
                  <c:v>Chennai</c:v>
                </c:pt>
                <c:pt idx="2">
                  <c:v>Delhi</c:v>
                </c:pt>
                <c:pt idx="3">
                  <c:v>Hyderabad</c:v>
                </c:pt>
                <c:pt idx="4">
                  <c:v>Mumbai</c:v>
                </c:pt>
                <c:pt idx="5">
                  <c:v>Pune</c:v>
                </c:pt>
              </c:strCache>
            </c:strRef>
          </c:cat>
          <c:val>
            <c:numRef>
              <c:f>Sheet2!$M$11:$M$17</c:f>
              <c:numCache>
                <c:formatCode>General</c:formatCode>
                <c:ptCount val="6"/>
                <c:pt idx="0">
                  <c:v>21</c:v>
                </c:pt>
                <c:pt idx="1">
                  <c:v>16</c:v>
                </c:pt>
                <c:pt idx="2">
                  <c:v>15</c:v>
                </c:pt>
                <c:pt idx="3">
                  <c:v>16</c:v>
                </c:pt>
                <c:pt idx="4">
                  <c:v>19</c:v>
                </c:pt>
                <c:pt idx="5">
                  <c:v>13</c:v>
                </c:pt>
              </c:numCache>
            </c:numRef>
          </c:val>
          <c:extLst>
            <c:ext xmlns:c16="http://schemas.microsoft.com/office/drawing/2014/chart" uri="{C3380CC4-5D6E-409C-BE32-E72D297353CC}">
              <c16:uniqueId val="{00000000-FEF1-4154-B2DF-A503822FA7A6}"/>
            </c:ext>
          </c:extLst>
        </c:ser>
        <c:ser>
          <c:idx val="1"/>
          <c:order val="1"/>
          <c:tx>
            <c:strRef>
              <c:f>Sheet2!$N$10</c:f>
              <c:strCache>
                <c:ptCount val="1"/>
                <c:pt idx="0">
                  <c:v>Sum of Units Sold</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Sheet2!$L$11:$L$17</c:f>
              <c:strCache>
                <c:ptCount val="6"/>
                <c:pt idx="0">
                  <c:v>Bangalore</c:v>
                </c:pt>
                <c:pt idx="1">
                  <c:v>Chennai</c:v>
                </c:pt>
                <c:pt idx="2">
                  <c:v>Delhi</c:v>
                </c:pt>
                <c:pt idx="3">
                  <c:v>Hyderabad</c:v>
                </c:pt>
                <c:pt idx="4">
                  <c:v>Mumbai</c:v>
                </c:pt>
                <c:pt idx="5">
                  <c:v>Pune</c:v>
                </c:pt>
              </c:strCache>
            </c:strRef>
          </c:cat>
          <c:val>
            <c:numRef>
              <c:f>Sheet2!$N$11:$N$17</c:f>
              <c:numCache>
                <c:formatCode>General</c:formatCode>
                <c:ptCount val="6"/>
                <c:pt idx="0">
                  <c:v>40</c:v>
                </c:pt>
                <c:pt idx="1">
                  <c:v>37</c:v>
                </c:pt>
                <c:pt idx="2">
                  <c:v>29</c:v>
                </c:pt>
                <c:pt idx="3">
                  <c:v>32</c:v>
                </c:pt>
                <c:pt idx="4">
                  <c:v>37</c:v>
                </c:pt>
                <c:pt idx="5">
                  <c:v>28</c:v>
                </c:pt>
              </c:numCache>
            </c:numRef>
          </c:val>
          <c:extLst>
            <c:ext xmlns:c16="http://schemas.microsoft.com/office/drawing/2014/chart" uri="{C3380CC4-5D6E-409C-BE32-E72D297353CC}">
              <c16:uniqueId val="{00000001-FEF1-4154-B2DF-A503822FA7A6}"/>
            </c:ext>
          </c:extLst>
        </c:ser>
        <c:dLbls>
          <c:dLblPos val="outEnd"/>
          <c:showLegendKey val="0"/>
          <c:showVal val="1"/>
          <c:showCatName val="0"/>
          <c:showSerName val="0"/>
          <c:showPercent val="0"/>
          <c:showBubbleSize val="0"/>
        </c:dLbls>
        <c:gapWidth val="219"/>
        <c:overlap val="-27"/>
        <c:axId val="281457440"/>
        <c:axId val="281458400"/>
      </c:barChart>
      <c:catAx>
        <c:axId val="281457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crossAx val="281458400"/>
        <c:crosses val="autoZero"/>
        <c:auto val="1"/>
        <c:lblAlgn val="ctr"/>
        <c:lblOffset val="100"/>
        <c:noMultiLvlLbl val="0"/>
      </c:catAx>
      <c:valAx>
        <c:axId val="281458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81457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atMod val="105000"/>
        </a:schemeClr>
      </a:solidFill>
      <a:prstDash val="solid"/>
      <a:round/>
    </a:ln>
    <a:effectLst>
      <a:glow rad="139700">
        <a:schemeClr val="accent3">
          <a:satMod val="175000"/>
          <a:alpha val="40000"/>
        </a:schemeClr>
      </a:glow>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[Kia_Diwali_Car_Sales_Data_with_Customers.xlsx]Sheet2!PivotTable3</c:name>
    <c:fmtId val="2"/>
  </c:pivotSource>
  <c:chart>
    <c:title>
      <c:tx>
        <c:rich>
          <a:bodyPr rot="0" spcFirstLastPara="1" vertOverflow="ellipsis" vert="horz" wrap="square" anchor="ctr" anchorCtr="1"/>
          <a:lstStyle/>
          <a:p>
            <a:pPr>
              <a:defRPr sz="1600" b="1" i="0" u="none" strike="noStrike" kern="1200" baseline="0">
                <a:solidFill>
                  <a:schemeClr val="dk1"/>
                </a:solidFill>
                <a:latin typeface="Arial Black" panose="020B0A04020102020204" pitchFamily="34" charset="0"/>
                <a:ea typeface="+mn-ea"/>
                <a:cs typeface="+mn-cs"/>
              </a:defRPr>
            </a:pPr>
            <a:r>
              <a:rPr lang="en-US" sz="1400" b="1">
                <a:latin typeface="Arial Black" panose="020B0A04020102020204" pitchFamily="34" charset="0"/>
              </a:rPr>
              <a:t>Salesperson Performance Chart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Arial Black" panose="020B0A0402010202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ofPieChart>
        <c:ofPieType val="bar"/>
        <c:varyColors val="1"/>
        <c:ser>
          <c:idx val="0"/>
          <c:order val="0"/>
          <c:tx>
            <c:strRef>
              <c:f>Sheet2!$I$9</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7FF7-4B52-B7AB-1955D696FADC}"/>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7FF7-4B52-B7AB-1955D696FADC}"/>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7FF7-4B52-B7AB-1955D696FADC}"/>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7FF7-4B52-B7AB-1955D696FADC}"/>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9-7FF7-4B52-B7AB-1955D696FADC}"/>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B-7FF7-4B52-B7AB-1955D696FADC}"/>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D-7FF7-4B52-B7AB-1955D696FAD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Sheet2!$H$10:$H$16</c:f>
              <c:strCache>
                <c:ptCount val="6"/>
                <c:pt idx="0">
                  <c:v>Amit Sharma</c:v>
                </c:pt>
                <c:pt idx="1">
                  <c:v>Anjali Das</c:v>
                </c:pt>
                <c:pt idx="2">
                  <c:v>Neha Singh</c:v>
                </c:pt>
                <c:pt idx="3">
                  <c:v>Priya Menon</c:v>
                </c:pt>
                <c:pt idx="4">
                  <c:v>Ravi Patel</c:v>
                </c:pt>
                <c:pt idx="5">
                  <c:v>Vikas Rao</c:v>
                </c:pt>
              </c:strCache>
            </c:strRef>
          </c:cat>
          <c:val>
            <c:numRef>
              <c:f>Sheet2!$I$10:$I$16</c:f>
              <c:numCache>
                <c:formatCode>General</c:formatCode>
                <c:ptCount val="6"/>
                <c:pt idx="0">
                  <c:v>38</c:v>
                </c:pt>
                <c:pt idx="1">
                  <c:v>25</c:v>
                </c:pt>
                <c:pt idx="2">
                  <c:v>33</c:v>
                </c:pt>
                <c:pt idx="3">
                  <c:v>45</c:v>
                </c:pt>
                <c:pt idx="4">
                  <c:v>24</c:v>
                </c:pt>
                <c:pt idx="5">
                  <c:v>38</c:v>
                </c:pt>
              </c:numCache>
            </c:numRef>
          </c:val>
          <c:extLst>
            <c:ext xmlns:c16="http://schemas.microsoft.com/office/drawing/2014/chart" uri="{C3380CC4-5D6E-409C-BE32-E72D297353CC}">
              <c16:uniqueId val="{00000000-7FF1-4848-8D26-8B73EDDE11A4}"/>
            </c:ext>
          </c:extLst>
        </c:ser>
        <c:dLbls>
          <c:dLblPos val="bestFit"/>
          <c:showLegendKey val="0"/>
          <c:showVal val="1"/>
          <c:showCatName val="0"/>
          <c:showSerName val="0"/>
          <c:showPercent val="0"/>
          <c:showBubbleSize val="0"/>
          <c:showLeaderLines val="1"/>
        </c:dLbls>
        <c:gapWidth val="219"/>
        <c:secondPieSize val="75"/>
        <c:serLines>
          <c:spPr>
            <a:ln w="9525">
              <a:solidFill>
                <a:schemeClr val="tx2">
                  <a:lumMod val="60000"/>
                  <a:lumOff val="40000"/>
                </a:schemeClr>
              </a:solidFill>
              <a:prstDash val="dash"/>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atMod val="105000"/>
        </a:schemeClr>
      </a:solidFill>
      <a:prstDash val="solid"/>
      <a:round/>
    </a:ln>
    <a:effectLst>
      <a:glow rad="139700">
        <a:schemeClr val="accent3">
          <a:satMod val="175000"/>
          <a:alpha val="40000"/>
        </a:schemeClr>
      </a:glow>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[Kia_Diwali_Car_Sales_Data_with_Customers.xlsx]Sheet2!PivotTable4</c:name>
    <c:fmtId val="8"/>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IN"/>
              <a:t>Average Discount &amp;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Sheet2!$D$78</c:f>
              <c:strCache>
                <c:ptCount val="1"/>
                <c:pt idx="0">
                  <c:v>Sum of Average D</c:v>
                </c:pt>
              </c:strCache>
            </c:strRef>
          </c:tx>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Sheet2!$C$79:$C$83</c:f>
              <c:strCache>
                <c:ptCount val="4"/>
                <c:pt idx="0">
                  <c:v>Carens</c:v>
                </c:pt>
                <c:pt idx="1">
                  <c:v>EV6</c:v>
                </c:pt>
                <c:pt idx="2">
                  <c:v>Seltos</c:v>
                </c:pt>
                <c:pt idx="3">
                  <c:v>Sonet</c:v>
                </c:pt>
              </c:strCache>
            </c:strRef>
          </c:cat>
          <c:val>
            <c:numRef>
              <c:f>Sheet2!$D$79:$D$83</c:f>
              <c:numCache>
                <c:formatCode>_ [$₹-4009]\ * #,##0.0_ ;_ [$₹-4009]\ * \-#,##0.0_ ;_ [$₹-4009]\ * "-"??_ ;_ @_ </c:formatCode>
                <c:ptCount val="4"/>
                <c:pt idx="0">
                  <c:v>1429104.7646542168</c:v>
                </c:pt>
                <c:pt idx="1">
                  <c:v>1624676.7580477202</c:v>
                </c:pt>
                <c:pt idx="2">
                  <c:v>1374188.7528432924</c:v>
                </c:pt>
                <c:pt idx="3">
                  <c:v>1445455.074270796</c:v>
                </c:pt>
              </c:numCache>
            </c:numRef>
          </c:val>
          <c:smooth val="0"/>
          <c:extLst>
            <c:ext xmlns:c16="http://schemas.microsoft.com/office/drawing/2014/chart" uri="{C3380CC4-5D6E-409C-BE32-E72D297353CC}">
              <c16:uniqueId val="{00000005-3457-4E5A-B9ED-ECDD35DB6198}"/>
            </c:ext>
          </c:extLst>
        </c:ser>
        <c:ser>
          <c:idx val="1"/>
          <c:order val="1"/>
          <c:tx>
            <c:strRef>
              <c:f>Sheet2!$E$78</c:f>
              <c:strCache>
                <c:ptCount val="1"/>
                <c:pt idx="0">
                  <c:v>Sum of S Average</c:v>
                </c:pt>
              </c:strCache>
            </c:strRef>
          </c:tx>
          <c:spPr>
            <a:ln w="31750"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Sheet2!$C$79:$C$83</c:f>
              <c:strCache>
                <c:ptCount val="4"/>
                <c:pt idx="0">
                  <c:v>Carens</c:v>
                </c:pt>
                <c:pt idx="1">
                  <c:v>EV6</c:v>
                </c:pt>
                <c:pt idx="2">
                  <c:v>Seltos</c:v>
                </c:pt>
                <c:pt idx="3">
                  <c:v>Sonet</c:v>
                </c:pt>
              </c:strCache>
            </c:strRef>
          </c:cat>
          <c:val>
            <c:numRef>
              <c:f>Sheet2!$E$79:$E$83</c:f>
              <c:numCache>
                <c:formatCode>_ [$₹-4009]\ * #,##0.0_ ;_ [$₹-4009]\ * \-#,##0.0_ ;_ [$₹-4009]\ * "-"??_ ;_ @_ </c:formatCode>
                <c:ptCount val="4"/>
                <c:pt idx="0">
                  <c:v>65074136.038835451</c:v>
                </c:pt>
                <c:pt idx="1">
                  <c:v>74341562.301355928</c:v>
                </c:pt>
                <c:pt idx="2">
                  <c:v>62030834.730631791</c:v>
                </c:pt>
                <c:pt idx="3">
                  <c:v>64210140.436948255</c:v>
                </c:pt>
              </c:numCache>
            </c:numRef>
          </c:val>
          <c:smooth val="0"/>
          <c:extLst>
            <c:ext xmlns:c16="http://schemas.microsoft.com/office/drawing/2014/chart" uri="{C3380CC4-5D6E-409C-BE32-E72D297353CC}">
              <c16:uniqueId val="{00000007-3457-4E5A-B9ED-ECDD35DB6198}"/>
            </c:ext>
          </c:extLst>
        </c:ser>
        <c:dLbls>
          <c:showLegendKey val="0"/>
          <c:showVal val="0"/>
          <c:showCatName val="0"/>
          <c:showSerName val="0"/>
          <c:showPercent val="0"/>
          <c:showBubbleSize val="0"/>
        </c:dLbls>
        <c:marker val="1"/>
        <c:smooth val="0"/>
        <c:axId val="525551359"/>
        <c:axId val="525566239"/>
      </c:lineChart>
      <c:catAx>
        <c:axId val="525551359"/>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525566239"/>
        <c:crosses val="autoZero"/>
        <c:auto val="1"/>
        <c:lblAlgn val="ctr"/>
        <c:lblOffset val="100"/>
        <c:noMultiLvlLbl val="0"/>
      </c:catAx>
      <c:valAx>
        <c:axId val="525566239"/>
        <c:scaling>
          <c:orientation val="minMax"/>
        </c:scaling>
        <c:delete val="1"/>
        <c:axPos val="l"/>
        <c:numFmt formatCode="_ [$₹-4009]\ * #,##0.0_ ;_ [$₹-4009]\ * \-#,##0.0_ ;_ [$₹-4009]\ * &quot;-&quot;??_ ;_ @_ " sourceLinked="1"/>
        <c:majorTickMark val="none"/>
        <c:minorTickMark val="none"/>
        <c:tickLblPos val="nextTo"/>
        <c:crossAx val="525551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atMod val="105000"/>
        </a:schemeClr>
      </a:solidFill>
      <a:prstDash val="solid"/>
      <a:round/>
    </a:ln>
    <a:effectLst>
      <a:glow rad="139700">
        <a:schemeClr val="accent1">
          <a:satMod val="175000"/>
          <a:alpha val="40000"/>
        </a:schemeClr>
      </a:glow>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[Kia_Diwali_Car_Sales_Data_with_Customers.xlsx]Sheet2!PivotTable5</c:name>
    <c:fmtId val="6"/>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sz="1100" b="1" cap="none" spc="0" baseline="0">
                <a:ln w="0"/>
                <a:solidFill>
                  <a:schemeClr val="tx1"/>
                </a:solidFill>
                <a:effectLst>
                  <a:outerShdw blurRad="38100" dist="19050" dir="2700000" algn="tl" rotWithShape="0">
                    <a:schemeClr val="dk1">
                      <a:alpha val="40000"/>
                    </a:schemeClr>
                  </a:outerShdw>
                </a:effectLst>
                <a:latin typeface="Arial Black" panose="020B0A04020102020204" pitchFamily="34" charset="0"/>
              </a:rPr>
              <a:t>SEGMENT WISE SALES</a:t>
            </a:r>
            <a:endParaRPr lang="en-US" sz="1100" b="1"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c:spPr>
      </c:pivotFmt>
      <c:pivotFmt>
        <c:idx val="7"/>
        <c:spPr>
          <a:solidFill>
            <a:schemeClr val="accent3"/>
          </a:solidFill>
          <a:ln>
            <a:noFill/>
          </a:ln>
          <a:effectLst/>
        </c:spPr>
      </c:pivotFmt>
      <c:pivotFmt>
        <c:idx val="8"/>
        <c:spPr>
          <a:solidFill>
            <a:schemeClr val="accent3"/>
          </a:solidFill>
          <a:ln>
            <a:noFill/>
          </a:ln>
          <a:effectLst/>
        </c:spPr>
      </c:pivotFmt>
      <c:pivotFmt>
        <c:idx val="9"/>
        <c:spPr>
          <a:solidFill>
            <a:schemeClr val="accent3"/>
          </a:solidFill>
          <a:ln>
            <a:noFill/>
          </a:ln>
          <a:effectLst/>
        </c:spPr>
      </c:pivotFmt>
      <c:pivotFmt>
        <c:idx val="10"/>
        <c:spPr>
          <a:solidFill>
            <a:schemeClr val="accent2"/>
          </a:solidFill>
          <a:ln>
            <a:noFill/>
          </a:ln>
          <a:effectLst/>
        </c:spPr>
      </c:pivotFmt>
      <c:pivotFmt>
        <c:idx val="11"/>
        <c:spPr>
          <a:solidFill>
            <a:schemeClr val="accent2"/>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2"/>
          </a:solidFill>
          <a:ln>
            <a:noFill/>
          </a:ln>
          <a:effectLst/>
        </c:spPr>
      </c:pivotFmt>
      <c:pivotFmt>
        <c:idx val="16"/>
        <c:spPr>
          <a:solidFill>
            <a:schemeClr val="accent2"/>
          </a:solidFill>
          <a:ln>
            <a:noFill/>
          </a:ln>
          <a:effectLst/>
        </c:spPr>
      </c:pivotFmt>
      <c:pivotFmt>
        <c:idx val="17"/>
        <c:spPr>
          <a:solidFill>
            <a:schemeClr val="accent1"/>
          </a:solidFill>
          <a:ln>
            <a:noFill/>
          </a:ln>
          <a:effectLst/>
        </c:spP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Sheet2!$N$72:$N$73</c:f>
              <c:strCache>
                <c:ptCount val="1"/>
                <c:pt idx="0">
                  <c:v>Diesel</c:v>
                </c:pt>
              </c:strCache>
            </c:strRef>
          </c:tx>
          <c:spPr>
            <a:solidFill>
              <a:schemeClr val="accent1"/>
            </a:solidFill>
            <a:ln>
              <a:noFill/>
            </a:ln>
            <a:effectLst/>
          </c:spPr>
          <c:invertIfNegative val="0"/>
          <c:cat>
            <c:strRef>
              <c:f>Sheet2!$M$74:$M$78</c:f>
              <c:strCache>
                <c:ptCount val="4"/>
                <c:pt idx="0">
                  <c:v>Carens</c:v>
                </c:pt>
                <c:pt idx="1">
                  <c:v>EV6</c:v>
                </c:pt>
                <c:pt idx="2">
                  <c:v>Seltos</c:v>
                </c:pt>
                <c:pt idx="3">
                  <c:v>Sonet</c:v>
                </c:pt>
              </c:strCache>
            </c:strRef>
          </c:cat>
          <c:val>
            <c:numRef>
              <c:f>Sheet2!$N$74:$N$78</c:f>
              <c:numCache>
                <c:formatCode>General</c:formatCode>
                <c:ptCount val="4"/>
                <c:pt idx="0">
                  <c:v>9</c:v>
                </c:pt>
                <c:pt idx="1">
                  <c:v>21</c:v>
                </c:pt>
                <c:pt idx="2">
                  <c:v>14</c:v>
                </c:pt>
                <c:pt idx="3">
                  <c:v>21</c:v>
                </c:pt>
              </c:numCache>
            </c:numRef>
          </c:val>
          <c:extLst>
            <c:ext xmlns:c16="http://schemas.microsoft.com/office/drawing/2014/chart" uri="{C3380CC4-5D6E-409C-BE32-E72D297353CC}">
              <c16:uniqueId val="{00000000-76E9-467B-945A-2FEBC85910D1}"/>
            </c:ext>
          </c:extLst>
        </c:ser>
        <c:ser>
          <c:idx val="1"/>
          <c:order val="1"/>
          <c:tx>
            <c:strRef>
              <c:f>Sheet2!$O$72:$O$73</c:f>
              <c:strCache>
                <c:ptCount val="1"/>
                <c:pt idx="0">
                  <c:v>Electric</c:v>
                </c:pt>
              </c:strCache>
            </c:strRef>
          </c:tx>
          <c:spPr>
            <a:solidFill>
              <a:schemeClr val="accent2"/>
            </a:solidFill>
            <a:ln>
              <a:noFill/>
            </a:ln>
            <a:effectLst/>
          </c:spPr>
          <c:invertIfNegative val="0"/>
          <c:cat>
            <c:strRef>
              <c:f>Sheet2!$M$74:$M$78</c:f>
              <c:strCache>
                <c:ptCount val="4"/>
                <c:pt idx="0">
                  <c:v>Carens</c:v>
                </c:pt>
                <c:pt idx="1">
                  <c:v>EV6</c:v>
                </c:pt>
                <c:pt idx="2">
                  <c:v>Seltos</c:v>
                </c:pt>
                <c:pt idx="3">
                  <c:v>Sonet</c:v>
                </c:pt>
              </c:strCache>
            </c:strRef>
          </c:cat>
          <c:val>
            <c:numRef>
              <c:f>Sheet2!$O$74:$O$78</c:f>
              <c:numCache>
                <c:formatCode>General</c:formatCode>
                <c:ptCount val="4"/>
                <c:pt idx="0">
                  <c:v>21</c:v>
                </c:pt>
                <c:pt idx="1">
                  <c:v>24</c:v>
                </c:pt>
                <c:pt idx="2">
                  <c:v>21</c:v>
                </c:pt>
                <c:pt idx="3">
                  <c:v>10</c:v>
                </c:pt>
              </c:numCache>
            </c:numRef>
          </c:val>
          <c:extLst>
            <c:ext xmlns:c16="http://schemas.microsoft.com/office/drawing/2014/chart" uri="{C3380CC4-5D6E-409C-BE32-E72D297353CC}">
              <c16:uniqueId val="{0000000F-A2E6-478A-AD77-2884C09C1902}"/>
            </c:ext>
          </c:extLst>
        </c:ser>
        <c:ser>
          <c:idx val="2"/>
          <c:order val="2"/>
          <c:tx>
            <c:strRef>
              <c:f>Sheet2!$P$72:$P$73</c:f>
              <c:strCache>
                <c:ptCount val="1"/>
                <c:pt idx="0">
                  <c:v>Petrol</c:v>
                </c:pt>
              </c:strCache>
            </c:strRef>
          </c:tx>
          <c:spPr>
            <a:solidFill>
              <a:schemeClr val="accent3"/>
            </a:solidFill>
            <a:ln>
              <a:noFill/>
            </a:ln>
            <a:effectLst/>
          </c:spPr>
          <c:invertIfNegative val="0"/>
          <c:cat>
            <c:strRef>
              <c:f>Sheet2!$M$74:$M$78</c:f>
              <c:strCache>
                <c:ptCount val="4"/>
                <c:pt idx="0">
                  <c:v>Carens</c:v>
                </c:pt>
                <c:pt idx="1">
                  <c:v>EV6</c:v>
                </c:pt>
                <c:pt idx="2">
                  <c:v>Seltos</c:v>
                </c:pt>
                <c:pt idx="3">
                  <c:v>Sonet</c:v>
                </c:pt>
              </c:strCache>
            </c:strRef>
          </c:cat>
          <c:val>
            <c:numRef>
              <c:f>Sheet2!$P$74:$P$78</c:f>
              <c:numCache>
                <c:formatCode>General</c:formatCode>
                <c:ptCount val="4"/>
                <c:pt idx="0">
                  <c:v>16</c:v>
                </c:pt>
                <c:pt idx="1">
                  <c:v>11</c:v>
                </c:pt>
                <c:pt idx="2">
                  <c:v>13</c:v>
                </c:pt>
                <c:pt idx="3">
                  <c:v>22</c:v>
                </c:pt>
              </c:numCache>
            </c:numRef>
          </c:val>
          <c:extLst>
            <c:ext xmlns:c16="http://schemas.microsoft.com/office/drawing/2014/chart" uri="{C3380CC4-5D6E-409C-BE32-E72D297353CC}">
              <c16:uniqueId val="{00000010-A2E6-478A-AD77-2884C09C1902}"/>
            </c:ext>
          </c:extLst>
        </c:ser>
        <c:dLbls>
          <c:showLegendKey val="0"/>
          <c:showVal val="0"/>
          <c:showCatName val="0"/>
          <c:showSerName val="0"/>
          <c:showPercent val="0"/>
          <c:showBubbleSize val="0"/>
        </c:dLbls>
        <c:gapWidth val="219"/>
        <c:overlap val="100"/>
        <c:axId val="519843327"/>
        <c:axId val="519843807"/>
      </c:barChart>
      <c:catAx>
        <c:axId val="5198433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519843807"/>
        <c:crosses val="autoZero"/>
        <c:auto val="1"/>
        <c:lblAlgn val="ctr"/>
        <c:lblOffset val="100"/>
        <c:noMultiLvlLbl val="0"/>
      </c:catAx>
      <c:valAx>
        <c:axId val="5198438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519843327"/>
        <c:crosses val="autoZero"/>
        <c:crossBetween val="between"/>
      </c:valAx>
      <c:dTable>
        <c:showHorzBorder val="1"/>
        <c:showVertBorder val="1"/>
        <c:showOutline val="1"/>
        <c:showKeys val="1"/>
        <c:spPr>
          <a:noFill/>
          <a:ln w="9525" cap="flat" cmpd="sng" algn="ctr">
            <a:solidFill>
              <a:schemeClr val="tx1"/>
            </a:solidFill>
            <a:round/>
          </a:ln>
          <a:effectLst/>
        </c:spPr>
        <c:txPr>
          <a:bodyPr rot="0" spcFirstLastPara="1" vertOverflow="ellipsis" vert="horz" wrap="square" anchor="ctr" anchorCtr="1"/>
          <a:lstStyle/>
          <a:p>
            <a:pPr rtl="0">
              <a:defRPr sz="900" b="1" i="0" u="none" strike="noStrike" kern="1200" baseline="0">
                <a:solidFill>
                  <a:sysClr val="windowText" lastClr="000000"/>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atMod val="105000"/>
        </a:schemeClr>
      </a:solidFill>
      <a:prstDash val="solid"/>
      <a:round/>
    </a:ln>
    <a:effectLst>
      <a:glow rad="139700">
        <a:schemeClr val="accent1">
          <a:satMod val="175000"/>
          <a:alpha val="40000"/>
        </a:schemeClr>
      </a:glow>
      <a:outerShdw blurRad="40000" dist="20000" dir="5400000" rotWithShape="0">
        <a:srgbClr val="000000">
          <a:alpha val="38000"/>
        </a:srgbClr>
      </a:outerShdw>
    </a:effectLst>
  </c:spPr>
  <c:txPr>
    <a:bodyPr/>
    <a:lstStyle/>
    <a:p>
      <a:pPr>
        <a:defRPr>
          <a:solidFill>
            <a:sysClr val="windowText" lastClr="000000"/>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[Kia_Diwali_Car_Sales_Data_with_Customers.xlsx]Sheet2!PivotTable7</c:name>
    <c:fmtId val="7"/>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t>Payment Mode Chart</a:t>
            </a:r>
          </a:p>
        </c:rich>
      </c:tx>
      <c:layout>
        <c:manualLayout>
          <c:xMode val="edge"/>
          <c:yMode val="edge"/>
          <c:x val="0.38514408991027288"/>
          <c:y val="0.11934966462525518"/>
        </c:manualLayout>
      </c:layout>
      <c:overlay val="0"/>
      <c:spPr>
        <a:solidFill>
          <a:schemeClr val="tx2">
            <a:lumMod val="20000"/>
            <a:lumOff val="80000"/>
          </a:schemeClr>
        </a:solid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Sheet2!$E$90</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ln>
              <a:effectLst/>
            </c:spPr>
            <c:trendlineType val="linear"/>
            <c:dispRSqr val="0"/>
            <c:dispEq val="0"/>
          </c:trendline>
          <c:cat>
            <c:strRef>
              <c:f>Sheet2!$D$91:$D$94</c:f>
              <c:strCache>
                <c:ptCount val="3"/>
                <c:pt idx="0">
                  <c:v>Cash</c:v>
                </c:pt>
                <c:pt idx="1">
                  <c:v>Finance</c:v>
                </c:pt>
                <c:pt idx="2">
                  <c:v>Lease</c:v>
                </c:pt>
              </c:strCache>
            </c:strRef>
          </c:cat>
          <c:val>
            <c:numRef>
              <c:f>Sheet2!$E$91:$E$94</c:f>
              <c:numCache>
                <c:formatCode>General</c:formatCode>
                <c:ptCount val="3"/>
                <c:pt idx="0">
                  <c:v>27</c:v>
                </c:pt>
                <c:pt idx="1">
                  <c:v>35</c:v>
                </c:pt>
                <c:pt idx="2">
                  <c:v>38</c:v>
                </c:pt>
              </c:numCache>
            </c:numRef>
          </c:val>
          <c:extLst>
            <c:ext xmlns:c16="http://schemas.microsoft.com/office/drawing/2014/chart" uri="{C3380CC4-5D6E-409C-BE32-E72D297353CC}">
              <c16:uniqueId val="{00000001-47F0-4FEF-ACD4-0F36FBE89505}"/>
            </c:ext>
          </c:extLst>
        </c:ser>
        <c:dLbls>
          <c:dLblPos val="outEnd"/>
          <c:showLegendKey val="0"/>
          <c:showVal val="1"/>
          <c:showCatName val="0"/>
          <c:showSerName val="0"/>
          <c:showPercent val="0"/>
          <c:showBubbleSize val="0"/>
        </c:dLbls>
        <c:gapWidth val="115"/>
        <c:overlap val="-20"/>
        <c:axId val="1322234144"/>
        <c:axId val="1322231744"/>
      </c:barChart>
      <c:catAx>
        <c:axId val="132223414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1322231744"/>
        <c:crosses val="autoZero"/>
        <c:auto val="1"/>
        <c:lblAlgn val="ctr"/>
        <c:lblOffset val="100"/>
        <c:noMultiLvlLbl val="0"/>
      </c:catAx>
      <c:valAx>
        <c:axId val="13222317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132223414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1" i="0" u="none" strike="noStrike" kern="1200" baseline="0">
                <a:solidFill>
                  <a:schemeClr val="dk1"/>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atMod val="105000"/>
        </a:schemeClr>
      </a:solidFill>
      <a:prstDash val="solid"/>
      <a:round/>
    </a:ln>
    <a:effectLst>
      <a:glow rad="101600">
        <a:schemeClr val="accent5">
          <a:satMod val="175000"/>
          <a:alpha val="40000"/>
        </a:schemeClr>
      </a:glow>
      <a:outerShdw blurRad="40000" dist="20000" dir="5400000" rotWithShape="0">
        <a:srgbClr val="000000">
          <a:alpha val="38000"/>
        </a:srgbClr>
      </a:outerShdw>
    </a:effectLst>
  </c:spPr>
  <c:txPr>
    <a:bodyPr/>
    <a:lstStyle/>
    <a:p>
      <a:pPr>
        <a:defRPr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22861</xdr:colOff>
      <xdr:row>3</xdr:row>
      <xdr:rowOff>120534</xdr:rowOff>
    </xdr:from>
    <xdr:to>
      <xdr:col>7</xdr:col>
      <xdr:colOff>327661</xdr:colOff>
      <xdr:row>18</xdr:row>
      <xdr:rowOff>120535</xdr:rowOff>
    </xdr:to>
    <xdr:graphicFrame macro="">
      <xdr:nvGraphicFramePr>
        <xdr:cNvPr id="3" name="Chart 2">
          <a:extLst>
            <a:ext uri="{FF2B5EF4-FFF2-40B4-BE49-F238E27FC236}">
              <a16:creationId xmlns:a16="http://schemas.microsoft.com/office/drawing/2014/main" id="{CDF35D2F-B5AB-49DA-B446-E717445FB7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378922</xdr:colOff>
      <xdr:row>3</xdr:row>
      <xdr:rowOff>119841</xdr:rowOff>
    </xdr:from>
    <xdr:to>
      <xdr:col>16</xdr:col>
      <xdr:colOff>127462</xdr:colOff>
      <xdr:row>18</xdr:row>
      <xdr:rowOff>104602</xdr:rowOff>
    </xdr:to>
    <xdr:graphicFrame macro="">
      <xdr:nvGraphicFramePr>
        <xdr:cNvPr id="5" name="Car Sales Dashboard">
          <a:extLst>
            <a:ext uri="{FF2B5EF4-FFF2-40B4-BE49-F238E27FC236}">
              <a16:creationId xmlns:a16="http://schemas.microsoft.com/office/drawing/2014/main" id="{773D83CB-D80F-48DD-9ECD-50DE7C8289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20</xdr:row>
      <xdr:rowOff>111877</xdr:rowOff>
    </xdr:from>
    <xdr:to>
      <xdr:col>9</xdr:col>
      <xdr:colOff>22860</xdr:colOff>
      <xdr:row>35</xdr:row>
      <xdr:rowOff>111876</xdr:rowOff>
    </xdr:to>
    <xdr:graphicFrame macro="">
      <xdr:nvGraphicFramePr>
        <xdr:cNvPr id="6" name="Chart 5">
          <a:extLst>
            <a:ext uri="{FF2B5EF4-FFF2-40B4-BE49-F238E27FC236}">
              <a16:creationId xmlns:a16="http://schemas.microsoft.com/office/drawing/2014/main" id="{DBB81E58-F172-4472-A1C5-4E31D1A784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269471</xdr:colOff>
      <xdr:row>20</xdr:row>
      <xdr:rowOff>91095</xdr:rowOff>
    </xdr:from>
    <xdr:to>
      <xdr:col>16</xdr:col>
      <xdr:colOff>570807</xdr:colOff>
      <xdr:row>35</xdr:row>
      <xdr:rowOff>91094</xdr:rowOff>
    </xdr:to>
    <xdr:graphicFrame macro="">
      <xdr:nvGraphicFramePr>
        <xdr:cNvPr id="2" name="Chart 1">
          <a:extLst>
            <a:ext uri="{FF2B5EF4-FFF2-40B4-BE49-F238E27FC236}">
              <a16:creationId xmlns:a16="http://schemas.microsoft.com/office/drawing/2014/main" id="{25009D47-E9F8-480B-9EC2-465098E07B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199159</xdr:colOff>
      <xdr:row>3</xdr:row>
      <xdr:rowOff>125383</xdr:rowOff>
    </xdr:from>
    <xdr:to>
      <xdr:col>23</xdr:col>
      <xdr:colOff>503959</xdr:colOff>
      <xdr:row>18</xdr:row>
      <xdr:rowOff>125384</xdr:rowOff>
    </xdr:to>
    <xdr:graphicFrame macro="">
      <xdr:nvGraphicFramePr>
        <xdr:cNvPr id="7" name="Chart 6">
          <a:extLst>
            <a:ext uri="{FF2B5EF4-FFF2-40B4-BE49-F238E27FC236}">
              <a16:creationId xmlns:a16="http://schemas.microsoft.com/office/drawing/2014/main" id="{3DDA8B76-B17B-45CE-83F4-92A70A41ED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145820</xdr:colOff>
      <xdr:row>20</xdr:row>
      <xdr:rowOff>100792</xdr:rowOff>
    </xdr:from>
    <xdr:to>
      <xdr:col>25</xdr:col>
      <xdr:colOff>305840</xdr:colOff>
      <xdr:row>35</xdr:row>
      <xdr:rowOff>100791</xdr:rowOff>
    </xdr:to>
    <xdr:graphicFrame macro="">
      <xdr:nvGraphicFramePr>
        <xdr:cNvPr id="8" name="Chart 7">
          <a:extLst>
            <a:ext uri="{FF2B5EF4-FFF2-40B4-BE49-F238E27FC236}">
              <a16:creationId xmlns:a16="http://schemas.microsoft.com/office/drawing/2014/main" id="{60DDBF10-878E-49AA-9848-18CD557314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23</xdr:col>
      <xdr:colOff>570116</xdr:colOff>
      <xdr:row>5</xdr:row>
      <xdr:rowOff>145125</xdr:rowOff>
    </xdr:from>
    <xdr:to>
      <xdr:col>26</xdr:col>
      <xdr:colOff>580507</xdr:colOff>
      <xdr:row>15</xdr:row>
      <xdr:rowOff>77931</xdr:rowOff>
    </xdr:to>
    <mc:AlternateContent xmlns:mc="http://schemas.openxmlformats.org/markup-compatibility/2006">
      <mc:Choice xmlns:a14="http://schemas.microsoft.com/office/drawing/2010/main" Requires="a14">
        <xdr:graphicFrame macro="">
          <xdr:nvGraphicFramePr>
            <xdr:cNvPr id="9" name="Car Model">
              <a:extLst>
                <a:ext uri="{FF2B5EF4-FFF2-40B4-BE49-F238E27FC236}">
                  <a16:creationId xmlns:a16="http://schemas.microsoft.com/office/drawing/2014/main" id="{7212F385-69D0-2886-3336-3437EC8DD9FF}"/>
                </a:ext>
              </a:extLst>
            </xdr:cNvPr>
            <xdr:cNvGraphicFramePr/>
          </xdr:nvGraphicFramePr>
          <xdr:xfrm>
            <a:off x="0" y="0"/>
            <a:ext cx="0" cy="0"/>
          </xdr:xfrm>
          <a:graphic>
            <a:graphicData uri="http://schemas.microsoft.com/office/drawing/2010/slicer">
              <sle:slicer xmlns:sle="http://schemas.microsoft.com/office/drawing/2010/slicer" name="Car Model"/>
            </a:graphicData>
          </a:graphic>
        </xdr:graphicFrame>
      </mc:Choice>
      <mc:Fallback>
        <xdr:sp macro="" textlink="">
          <xdr:nvSpPr>
            <xdr:cNvPr id="0" name=""/>
            <xdr:cNvSpPr>
              <a:spLocks noTextEdit="1"/>
            </xdr:cNvSpPr>
          </xdr:nvSpPr>
          <xdr:spPr>
            <a:xfrm>
              <a:off x="14511252" y="1054330"/>
              <a:ext cx="1828800" cy="17512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60614</xdr:colOff>
      <xdr:row>0</xdr:row>
      <xdr:rowOff>60614</xdr:rowOff>
    </xdr:from>
    <xdr:to>
      <xdr:col>28</xdr:col>
      <xdr:colOff>389659</xdr:colOff>
      <xdr:row>3</xdr:row>
      <xdr:rowOff>34636</xdr:rowOff>
    </xdr:to>
    <xdr:sp macro="" textlink="">
      <xdr:nvSpPr>
        <xdr:cNvPr id="4" name="Rectangle: Rounded Corners 3">
          <a:extLst>
            <a:ext uri="{FF2B5EF4-FFF2-40B4-BE49-F238E27FC236}">
              <a16:creationId xmlns:a16="http://schemas.microsoft.com/office/drawing/2014/main" id="{5EC67657-0C24-F2D7-44C5-6D4D4AD935C5}"/>
            </a:ext>
          </a:extLst>
        </xdr:cNvPr>
        <xdr:cNvSpPr/>
      </xdr:nvSpPr>
      <xdr:spPr>
        <a:xfrm>
          <a:off x="60614" y="60614"/>
          <a:ext cx="17300863" cy="519545"/>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en-IN" sz="1800" baseline="0">
              <a:latin typeface="Arial Black" panose="020B0A04020102020204" pitchFamily="34" charset="0"/>
            </a:rPr>
            <a:t>                                                                                      </a:t>
          </a:r>
          <a:r>
            <a:rPr lang="en-IN" sz="1800">
              <a:latin typeface="Arial Black" panose="020B0A04020102020204" pitchFamily="34" charset="0"/>
            </a:rPr>
            <a:t>CAR SALES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bham" refreshedDate="45955.876608217593" createdVersion="8" refreshedVersion="8" minRefreshableVersion="3" recordCount="100" xr:uid="{C4AE84D9-2D7C-4348-BD39-6462B868860D}">
  <cacheSource type="worksheet">
    <worksheetSource name="Table1"/>
  </cacheSource>
  <cacheFields count="13">
    <cacheField name="Date of Sale" numFmtId="2">
      <sharedItems count="43">
        <s v="2024-11-19"/>
        <s v="2024-10-17"/>
        <s v="2024-10-11"/>
        <s v="2024-11-26"/>
        <s v="2024-10-27"/>
        <s v="2024-10-25"/>
        <s v="2024-10-24"/>
        <s v="2024-10-18"/>
        <s v="2024-10-16"/>
        <s v="2024-11-22"/>
        <s v="2024-11-13"/>
        <s v="2024-10-15"/>
        <s v="2024-11-16"/>
        <s v="2024-11-06"/>
        <s v="2024-10-12"/>
        <s v="2024-10-23"/>
        <s v="2024-11-11"/>
        <s v="2024-11-17"/>
        <s v="2024-11-14"/>
        <s v="2024-10-22"/>
        <s v="2024-11-24"/>
        <s v="2024-11-20"/>
        <s v="2024-11-23"/>
        <s v="2024-11-05"/>
        <s v="2024-11-07"/>
        <s v="2024-11-30"/>
        <s v="2024-10-10"/>
        <s v="2024-11-27"/>
        <s v="2024-10-20"/>
        <s v="2024-10-31"/>
        <s v="2024-10-19"/>
        <s v="2024-11-03"/>
        <s v="2024-11-01"/>
        <s v="2024-10-26"/>
        <s v="2024-11-25"/>
        <s v="2024-11-08"/>
        <s v="2024-10-28"/>
        <s v="2024-11-18"/>
        <s v="2024-11-02"/>
        <s v="2024-11-15"/>
        <s v="2024-10-14"/>
        <s v="2024-11-21"/>
        <s v="2024-11-28"/>
      </sharedItems>
    </cacheField>
    <cacheField name="Delearship Name" numFmtId="0">
      <sharedItems/>
    </cacheField>
    <cacheField name="City" numFmtId="0">
      <sharedItems count="6">
        <s v="Bangalore"/>
        <s v="Delhi"/>
        <s v="Mumbai"/>
        <s v="Pune"/>
        <s v="Hyderabad"/>
        <s v="Chennai"/>
      </sharedItems>
    </cacheField>
    <cacheField name="Salesperson" numFmtId="0">
      <sharedItems count="6">
        <s v="Anjali Das"/>
        <s v="Amit Sharma"/>
        <s v="Priya Menon"/>
        <s v="Vikas Rao"/>
        <s v="Neha Singh"/>
        <s v="Ravi Patel"/>
      </sharedItems>
    </cacheField>
    <cacheField name="Car Model" numFmtId="0">
      <sharedItems count="4">
        <s v="Seltos"/>
        <s v="Sonet"/>
        <s v="EV6"/>
        <s v="Carens"/>
      </sharedItems>
    </cacheField>
    <cacheField name="Variant" numFmtId="0">
      <sharedItems/>
    </cacheField>
    <cacheField name="Fuel Type" numFmtId="0">
      <sharedItems count="3">
        <s v="Electric"/>
        <s v="Petrol"/>
        <s v="Diesel"/>
      </sharedItems>
    </cacheField>
    <cacheField name="Transmission" numFmtId="0">
      <sharedItems/>
    </cacheField>
    <cacheField name="Units Sold" numFmtId="0">
      <sharedItems containsSemiMixedTypes="0" containsString="0" containsNumber="1" containsInteger="1" minValue="1" maxValue="3"/>
    </cacheField>
    <cacheField name="Sale Price (₹)" numFmtId="164">
      <sharedItems containsSemiMixedTypes="0" containsString="0" containsNumber="1" containsInteger="1" minValue="872442" maxValue="6094681"/>
    </cacheField>
    <cacheField name="Discount (₹)" numFmtId="164">
      <sharedItems containsSemiMixedTypes="0" containsString="0" containsNumber="1" containsInteger="1" minValue="10829" maxValue="149991"/>
    </cacheField>
    <cacheField name="Payment Mode" numFmtId="0">
      <sharedItems count="3">
        <s v="Lease"/>
        <s v="Cash"/>
        <s v="Finance"/>
      </sharedItems>
    </cacheField>
    <cacheField name="Customer Name" numFmtId="0">
      <sharedItems count="100">
        <s v="Aarav Mehta"/>
        <s v="Priya Sharma"/>
        <s v="Rohan Nair"/>
        <s v="Sneha Verma"/>
        <s v="Aditya Iyer"/>
        <s v="Neha Reddy"/>
        <s v="Karan Patel"/>
        <s v="Aishwarya Rao"/>
        <s v="Vivek Bansal"/>
        <s v="Divya Singh"/>
        <s v="Arjun Malhotra"/>
        <s v="Tanya Gupta"/>
        <s v="Rohit Deshmukh"/>
        <s v="Pooja Menon"/>
        <s v="Sameer Khan"/>
        <s v="Kritika Joshi"/>
        <s v="Harshad Shetty"/>
        <s v="Sakshi Aggarwal"/>
        <s v="Deepak Yadav"/>
        <s v="Ananya Pillai"/>
        <s v="Saurabh Jain"/>
        <s v="Ritu Chauhan"/>
        <s v="Manish Dubey"/>
        <s v="Isha Kapoor"/>
        <s v="Gaurav Singh"/>
        <s v="Nidhi Soni"/>
        <s v="Abhishek Tiwari"/>
        <s v="Shreya Das"/>
        <s v="Kunal Chatterjee"/>
        <s v="Aditi Mishra"/>
        <s v="Mohit Chhabra"/>
        <s v="Rachita Paul"/>
        <s v="Yash Ghosh"/>
        <s v="Kavita Arora"/>
        <s v="Rajeev Sharma"/>
        <s v="Rupal Dey"/>
        <s v="Chetan Mehra"/>
        <s v="Preeti Ramaswamy"/>
        <s v="Ashish Rao"/>
        <s v="Payal Mukherjee"/>
        <s v="Devansh Chauhan"/>
        <s v="Bhavna Sethi"/>
        <s v="Varun Iyer"/>
        <s v="Snehal Patil"/>
        <s v="Rajat Kapoor"/>
        <s v="Megha Nair"/>
        <s v="Nikhil Bhatia"/>
        <s v="Riya D’Souza"/>
        <s v="Aman Khanna"/>
        <s v="Charvi Gaur"/>
        <s v="Sandeep Menon"/>
        <s v="Shruti Joshi"/>
        <s v="Chirag Shah"/>
        <s v="Tanvi Reddy"/>
        <s v="Vipul Jain"/>
        <s v="Garima Bhatnagar"/>
        <s v="Parth Desai"/>
        <s v="Mitali Basu"/>
        <s v="Anuj Kumar"/>
        <s v="Sanjana Pillai"/>
        <s v="Hardik Trivedi"/>
        <s v="Kriti Mehta"/>
        <s v="Laksh Arora"/>
        <s v="Simran Kaur"/>
        <s v="Rajesh Reddy"/>
        <s v="Aakriti Bansal"/>
        <s v="Deepesh Sharma"/>
        <s v="Nisha Varma"/>
        <s v="Prateek Sinha"/>
        <s v="Muskan Kapoor"/>
        <s v="Ajay Nair"/>
        <s v="Tania Paul"/>
        <s v="Sahil Agarwal"/>
        <s v="Diya Joshi"/>
        <s v="Viren Patel"/>
        <s v="Esha Dey"/>
        <s v="Jatin Malhotra"/>
        <s v="Sonal Ghosh"/>
        <s v="Harsh Vora"/>
        <s v="Rachna Iyer"/>
        <s v="Sidharth Rao"/>
        <s v="Rupal Singh"/>
        <s v="Nishant Mehta"/>
        <s v="Ishita Reddy"/>
        <s v="Rakesh Sharma"/>
        <s v="Komal Bhatt"/>
        <s v="Tejas Khanna"/>
        <s v="Anushka Menon"/>
        <s v="Arnav Jain"/>
        <s v="Sneha Basu"/>
        <s v="Dev Mishra"/>
        <s v="Anjali Nair"/>
        <s v="Puneet Sethi"/>
        <s v="Manya Kapoor"/>
        <s v="Harshit Agarwal"/>
        <s v="Shalini Dubey"/>
        <s v="Keshav Tiwari"/>
        <s v="Radhika Arora"/>
        <s v="Nitin Chatterjee"/>
        <s v="Aanya Verma"/>
      </sharedItems>
    </cacheField>
  </cacheFields>
  <extLst>
    <ext xmlns:x14="http://schemas.microsoft.com/office/spreadsheetml/2009/9/main" uri="{725AE2AE-9491-48be-B2B4-4EB974FC3084}">
      <x14:pivotCacheDefinition pivotCacheId="121420747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bham" refreshedDate="45956.585739236114" createdVersion="8" refreshedVersion="8" minRefreshableVersion="3" recordCount="100" xr:uid="{62A9D512-0A12-4C98-A870-A3CD79369B26}">
  <cacheSource type="worksheet">
    <worksheetSource name="Table1[[City]:[S Average]]"/>
  </cacheSource>
  <cacheFields count="13">
    <cacheField name="City" numFmtId="0">
      <sharedItems count="6">
        <s v="Bangalore"/>
        <s v="Delhi"/>
        <s v="Mumbai"/>
        <s v="Pune"/>
        <s v="Hyderabad"/>
        <s v="Chennai"/>
      </sharedItems>
    </cacheField>
    <cacheField name="Salesperson" numFmtId="0">
      <sharedItems/>
    </cacheField>
    <cacheField name="Car Model" numFmtId="0">
      <sharedItems count="4">
        <s v="Seltos"/>
        <s v="Sonet"/>
        <s v="EV6"/>
        <s v="Carens"/>
      </sharedItems>
    </cacheField>
    <cacheField name="Variant" numFmtId="0">
      <sharedItems/>
    </cacheField>
    <cacheField name="Fuel Type" numFmtId="0">
      <sharedItems count="3">
        <s v="Electric"/>
        <s v="Petrol"/>
        <s v="Diesel"/>
      </sharedItems>
    </cacheField>
    <cacheField name="Transmission" numFmtId="0">
      <sharedItems/>
    </cacheField>
    <cacheField name="Units Sold" numFmtId="0">
      <sharedItems containsSemiMixedTypes="0" containsString="0" containsNumber="1" containsInteger="1" minValue="1" maxValue="3"/>
    </cacheField>
    <cacheField name="Sale Price (₹)" numFmtId="164">
      <sharedItems containsSemiMixedTypes="0" containsString="0" containsNumber="1" containsInteger="1" minValue="872442" maxValue="6094681"/>
    </cacheField>
    <cacheField name="Discount (₹)" numFmtId="164">
      <sharedItems containsSemiMixedTypes="0" containsString="0" containsNumber="1" containsInteger="1" minValue="10829" maxValue="149991"/>
    </cacheField>
    <cacheField name="Payment Mode" numFmtId="0">
      <sharedItems/>
    </cacheField>
    <cacheField name="Customer Name" numFmtId="0">
      <sharedItems/>
    </cacheField>
    <cacheField name="Average D" numFmtId="164">
      <sharedItems containsSemiMixedTypes="0" containsString="0" containsNumber="1" minValue="31599.5" maxValue="71107.399999999994"/>
    </cacheField>
    <cacheField name="S Average" numFmtId="164">
      <sharedItems containsSemiMixedTypes="0" containsString="0" containsNumber="1" minValue="1527990.5" maxValue="3215886.8666666667"/>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bham" refreshedDate="45957.629963657404" createdVersion="8" refreshedVersion="8" minRefreshableVersion="3" recordCount="91" xr:uid="{D3EFCC4D-3A5E-4404-8ADA-3F6BEA10EADE}">
  <cacheSource type="worksheet">
    <worksheetSource ref="A10:M101" sheet="Sheet1"/>
  </cacheSource>
  <cacheFields count="13">
    <cacheField name="2024-11-26" numFmtId="2">
      <sharedItems/>
    </cacheField>
    <cacheField name="Kia Motors Pvt Ltd" numFmtId="0">
      <sharedItems/>
    </cacheField>
    <cacheField name="Mumbai" numFmtId="0">
      <sharedItems/>
    </cacheField>
    <cacheField name="Amit Sharma" numFmtId="0">
      <sharedItems/>
    </cacheField>
    <cacheField name="Seltos" numFmtId="0">
      <sharedItems/>
    </cacheField>
    <cacheField name="HTE" numFmtId="0">
      <sharedItems/>
    </cacheField>
    <cacheField name="Electric" numFmtId="0">
      <sharedItems/>
    </cacheField>
    <cacheField name="Automatic" numFmtId="0">
      <sharedItems/>
    </cacheField>
    <cacheField name="1" numFmtId="0">
      <sharedItems containsSemiMixedTypes="0" containsString="0" containsNumber="1" containsInteger="1" minValue="1" maxValue="3"/>
    </cacheField>
    <cacheField name=" ₹ 13,98,729.0 " numFmtId="164">
      <sharedItems containsSemiMixedTypes="0" containsString="0" containsNumber="1" containsInteger="1" minValue="872442" maxValue="6094681"/>
    </cacheField>
    <cacheField name=" ₹ 72,059.0 " numFmtId="164">
      <sharedItems containsSemiMixedTypes="0" containsString="0" containsNumber="1" containsInteger="1" minValue="10829" maxValue="149991"/>
    </cacheField>
    <cacheField name="Cash" numFmtId="0">
      <sharedItems/>
    </cacheField>
    <cacheField name="Vivek Bansal" numFmtId="0">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bham" refreshedDate="45957.826015972219" createdVersion="8" refreshedVersion="8" minRefreshableVersion="3" recordCount="100" xr:uid="{80D969B1-1B53-4607-813F-27B089DDC8D4}">
  <cacheSource type="worksheet">
    <worksheetSource name="Table1[[Date of Sale]:[Customer Name]]"/>
  </cacheSource>
  <cacheFields count="13">
    <cacheField name="Date of Sale" numFmtId="2">
      <sharedItems/>
    </cacheField>
    <cacheField name="Delearship Name" numFmtId="0">
      <sharedItems/>
    </cacheField>
    <cacheField name="City" numFmtId="0">
      <sharedItems/>
    </cacheField>
    <cacheField name="Salesperson" numFmtId="0">
      <sharedItems/>
    </cacheField>
    <cacheField name="Car Model" numFmtId="0">
      <sharedItems count="4">
        <s v="Seltos"/>
        <s v="Sonet"/>
        <s v="EV6"/>
        <s v="Carens"/>
      </sharedItems>
    </cacheField>
    <cacheField name="Variant" numFmtId="0">
      <sharedItems/>
    </cacheField>
    <cacheField name="Fuel Type" numFmtId="0">
      <sharedItems count="3">
        <s v="Electric"/>
        <s v="Petrol"/>
        <s v="Diesel"/>
      </sharedItems>
    </cacheField>
    <cacheField name="Transmission" numFmtId="0">
      <sharedItems/>
    </cacheField>
    <cacheField name="Units Sold" numFmtId="0">
      <sharedItems containsSemiMixedTypes="0" containsString="0" containsNumber="1" containsInteger="1" minValue="1" maxValue="3"/>
    </cacheField>
    <cacheField name="Sale Price (₹)" numFmtId="164">
      <sharedItems containsSemiMixedTypes="0" containsString="0" containsNumber="1" containsInteger="1" minValue="872442" maxValue="6094681"/>
    </cacheField>
    <cacheField name="Discount (₹)" numFmtId="164">
      <sharedItems containsSemiMixedTypes="0" containsString="0" containsNumber="1" containsInteger="1" minValue="10829" maxValue="149991"/>
    </cacheField>
    <cacheField name="Payment Mode" numFmtId="0">
      <sharedItems/>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bham" refreshedDate="45959.877583333335" createdVersion="8" refreshedVersion="8" minRefreshableVersion="3" recordCount="100" xr:uid="{C13C34A3-05D8-4FAE-9076-33E223EFA4E0}">
  <cacheSource type="worksheet">
    <worksheetSource name="Table1[[Delearship Name]:[Payment Mode]]"/>
  </cacheSource>
  <cacheFields count="11">
    <cacheField name="Delearship Name" numFmtId="0">
      <sharedItems/>
    </cacheField>
    <cacheField name="City" numFmtId="0">
      <sharedItems/>
    </cacheField>
    <cacheField name="Salesperson" numFmtId="0">
      <sharedItems/>
    </cacheField>
    <cacheField name="Car Model" numFmtId="0">
      <sharedItems count="4">
        <s v="Seltos"/>
        <s v="Sonet"/>
        <s v="EV6"/>
        <s v="Carens"/>
      </sharedItems>
    </cacheField>
    <cacheField name="Variant" numFmtId="0">
      <sharedItems/>
    </cacheField>
    <cacheField name="Fuel Type" numFmtId="0">
      <sharedItems/>
    </cacheField>
    <cacheField name="Transmission" numFmtId="0">
      <sharedItems/>
    </cacheField>
    <cacheField name="Units Sold" numFmtId="0">
      <sharedItems containsSemiMixedTypes="0" containsString="0" containsNumber="1" containsInteger="1" minValue="1" maxValue="3"/>
    </cacheField>
    <cacheField name="Sale Price (₹)" numFmtId="164">
      <sharedItems containsSemiMixedTypes="0" containsString="0" containsNumber="1" containsInteger="1" minValue="872442" maxValue="6094681"/>
    </cacheField>
    <cacheField name="Discount (₹)" numFmtId="164">
      <sharedItems containsSemiMixedTypes="0" containsString="0" containsNumber="1" containsInteger="1" minValue="10829" maxValue="149991"/>
    </cacheField>
    <cacheField name="Payment Mode" numFmtId="0">
      <sharedItems count="3">
        <s v="Lease"/>
        <s v="Cash"/>
        <s v="Finance"/>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s v="Speed Auto Kia Pvt Ltd"/>
    <x v="0"/>
    <x v="0"/>
    <x v="0"/>
    <s v="HTK"/>
    <x v="0"/>
    <s v="Manual"/>
    <n v="3"/>
    <n v="1349471"/>
    <n v="27691"/>
    <x v="0"/>
    <x v="0"/>
  </r>
  <r>
    <x v="1"/>
    <s v="Admire Wheels  Pvt Ltd"/>
    <x v="1"/>
    <x v="1"/>
    <x v="1"/>
    <s v="HTK"/>
    <x v="1"/>
    <s v="Automatic"/>
    <n v="2"/>
    <n v="932694"/>
    <n v="36290"/>
    <x v="1"/>
    <x v="1"/>
  </r>
  <r>
    <x v="2"/>
    <s v="Kia Motors Pvt Ltd"/>
    <x v="2"/>
    <x v="0"/>
    <x v="2"/>
    <s v="GTX"/>
    <x v="0"/>
    <s v="Automatic"/>
    <n v="1"/>
    <n v="6019436"/>
    <n v="68301"/>
    <x v="0"/>
    <x v="2"/>
  </r>
  <r>
    <x v="3"/>
    <s v="Kia Motors Pvt Ltd"/>
    <x v="2"/>
    <x v="1"/>
    <x v="2"/>
    <s v="HTX"/>
    <x v="1"/>
    <s v="Manual"/>
    <n v="2"/>
    <n v="5986262"/>
    <n v="116784"/>
    <x v="1"/>
    <x v="3"/>
  </r>
  <r>
    <x v="4"/>
    <s v="Admire Wheels Pvt Ltd"/>
    <x v="1"/>
    <x v="2"/>
    <x v="2"/>
    <s v="X-Line"/>
    <x v="0"/>
    <s v="Automatic"/>
    <n v="3"/>
    <n v="6050864"/>
    <n v="100019"/>
    <x v="0"/>
    <x v="4"/>
  </r>
  <r>
    <x v="5"/>
    <s v="Star Kia Pvt Ltd"/>
    <x v="3"/>
    <x v="2"/>
    <x v="1"/>
    <s v="X-Line"/>
    <x v="1"/>
    <s v="Automatic"/>
    <n v="2"/>
    <n v="939174"/>
    <n v="17310"/>
    <x v="1"/>
    <x v="5"/>
  </r>
  <r>
    <x v="6"/>
    <s v="Admire Wheels  Pvt Ltd"/>
    <x v="1"/>
    <x v="3"/>
    <x v="0"/>
    <s v="X-Line"/>
    <x v="0"/>
    <s v="Manual"/>
    <n v="3"/>
    <n v="1328235"/>
    <n v="65159"/>
    <x v="1"/>
    <x v="6"/>
  </r>
  <r>
    <x v="7"/>
    <s v="Elite Kia Pvt Ltd"/>
    <x v="4"/>
    <x v="2"/>
    <x v="0"/>
    <s v="X-Line"/>
    <x v="1"/>
    <s v="Manual"/>
    <n v="2"/>
    <n v="1250149"/>
    <n v="49252"/>
    <x v="2"/>
    <x v="7"/>
  </r>
  <r>
    <x v="3"/>
    <s v="Kia Motors Pvt Ltd"/>
    <x v="2"/>
    <x v="1"/>
    <x v="0"/>
    <s v="HTE"/>
    <x v="0"/>
    <s v="Automatic"/>
    <n v="1"/>
    <n v="1398729"/>
    <n v="72059"/>
    <x v="1"/>
    <x v="8"/>
  </r>
  <r>
    <x v="8"/>
    <s v="Elite Kia Pvt Ltd"/>
    <x v="4"/>
    <x v="3"/>
    <x v="0"/>
    <s v="GTX"/>
    <x v="2"/>
    <s v="Manual"/>
    <n v="3"/>
    <n v="1293287"/>
    <n v="27370"/>
    <x v="0"/>
    <x v="9"/>
  </r>
  <r>
    <x v="9"/>
    <s v="Royal Kia Pvt Ltd"/>
    <x v="5"/>
    <x v="2"/>
    <x v="3"/>
    <s v="GTX"/>
    <x v="1"/>
    <s v="Manual"/>
    <n v="3"/>
    <n v="1547889"/>
    <n v="38711"/>
    <x v="1"/>
    <x v="10"/>
  </r>
  <r>
    <x v="3"/>
    <s v="Elite Kia Pvt Ltd"/>
    <x v="4"/>
    <x v="4"/>
    <x v="3"/>
    <s v="HTE"/>
    <x v="1"/>
    <s v="Manual"/>
    <n v="3"/>
    <n v="1595207"/>
    <n v="25080"/>
    <x v="0"/>
    <x v="11"/>
  </r>
  <r>
    <x v="10"/>
    <s v="Admire Wheels  Pvt Ltd"/>
    <x v="1"/>
    <x v="4"/>
    <x v="0"/>
    <s v="HTE"/>
    <x v="2"/>
    <s v="Automatic"/>
    <n v="3"/>
    <n v="1336619"/>
    <n v="14643"/>
    <x v="1"/>
    <x v="12"/>
  </r>
  <r>
    <x v="11"/>
    <s v="Speed Auto Kia Pvt Ltd"/>
    <x v="0"/>
    <x v="1"/>
    <x v="2"/>
    <s v="HTK"/>
    <x v="0"/>
    <s v="Automatic"/>
    <n v="1"/>
    <n v="6056708"/>
    <n v="74957"/>
    <x v="2"/>
    <x v="13"/>
  </r>
  <r>
    <x v="12"/>
    <s v="Royal Kia Pvt Ltd"/>
    <x v="5"/>
    <x v="0"/>
    <x v="2"/>
    <s v="GTX"/>
    <x v="1"/>
    <s v="Manual"/>
    <n v="3"/>
    <n v="5964200"/>
    <n v="138259"/>
    <x v="2"/>
    <x v="14"/>
  </r>
  <r>
    <x v="13"/>
    <s v="Kia Motors Pvt Ltd"/>
    <x v="2"/>
    <x v="4"/>
    <x v="1"/>
    <s v="HTK"/>
    <x v="2"/>
    <s v="Manual"/>
    <n v="2"/>
    <n v="899862"/>
    <n v="45146"/>
    <x v="2"/>
    <x v="15"/>
  </r>
  <r>
    <x v="14"/>
    <s v="Speed Auto Kia Pvt Ltd"/>
    <x v="0"/>
    <x v="0"/>
    <x v="0"/>
    <s v="HTE"/>
    <x v="0"/>
    <s v="Manual"/>
    <n v="1"/>
    <n v="1394264"/>
    <n v="16416"/>
    <x v="1"/>
    <x v="16"/>
  </r>
  <r>
    <x v="2"/>
    <s v="Speed Auto Kia Pvt Ltd"/>
    <x v="0"/>
    <x v="1"/>
    <x v="0"/>
    <s v="GTX"/>
    <x v="1"/>
    <s v="Automatic"/>
    <n v="2"/>
    <n v="1376185"/>
    <n v="24008"/>
    <x v="1"/>
    <x v="17"/>
  </r>
  <r>
    <x v="11"/>
    <s v="Star Kia Pvt Ltd"/>
    <x v="3"/>
    <x v="3"/>
    <x v="3"/>
    <s v="GTX"/>
    <x v="0"/>
    <s v="Automatic"/>
    <n v="3"/>
    <n v="1560888"/>
    <n v="55651"/>
    <x v="1"/>
    <x v="18"/>
  </r>
  <r>
    <x v="15"/>
    <s v="Admire Wheels  Pvt Ltd"/>
    <x v="1"/>
    <x v="5"/>
    <x v="3"/>
    <s v="HTK"/>
    <x v="1"/>
    <s v="Manual"/>
    <n v="3"/>
    <n v="1592133"/>
    <n v="13994"/>
    <x v="0"/>
    <x v="19"/>
  </r>
  <r>
    <x v="6"/>
    <s v="Elite Kia Pvt Ltd"/>
    <x v="4"/>
    <x v="1"/>
    <x v="0"/>
    <s v="HTE"/>
    <x v="0"/>
    <s v="Manual"/>
    <n v="1"/>
    <n v="1271000"/>
    <n v="65793"/>
    <x v="0"/>
    <x v="20"/>
  </r>
  <r>
    <x v="16"/>
    <s v="Elite Kia Pvt Ltd"/>
    <x v="4"/>
    <x v="1"/>
    <x v="2"/>
    <s v="HTE"/>
    <x v="0"/>
    <s v="Manual"/>
    <n v="3"/>
    <n v="6014543"/>
    <n v="125880"/>
    <x v="2"/>
    <x v="21"/>
  </r>
  <r>
    <x v="17"/>
    <s v="Royal Kia Pvt Ltd"/>
    <x v="5"/>
    <x v="2"/>
    <x v="3"/>
    <s v="HTK"/>
    <x v="1"/>
    <s v="Automatic"/>
    <n v="2"/>
    <n v="1532361"/>
    <n v="25642"/>
    <x v="2"/>
    <x v="22"/>
  </r>
  <r>
    <x v="2"/>
    <s v="Speed Auto Kia Pvt Ltd"/>
    <x v="0"/>
    <x v="3"/>
    <x v="1"/>
    <s v="HTE"/>
    <x v="1"/>
    <s v="Automatic"/>
    <n v="1"/>
    <n v="997585"/>
    <n v="16552"/>
    <x v="1"/>
    <x v="23"/>
  </r>
  <r>
    <x v="18"/>
    <s v="Star Kia Pvt Ltd"/>
    <x v="3"/>
    <x v="3"/>
    <x v="1"/>
    <s v="HTK"/>
    <x v="0"/>
    <s v="Automatic"/>
    <n v="2"/>
    <n v="924707"/>
    <n v="20338"/>
    <x v="0"/>
    <x v="24"/>
  </r>
  <r>
    <x v="19"/>
    <s v="Kia Motors  Pvt Ltd"/>
    <x v="2"/>
    <x v="0"/>
    <x v="3"/>
    <s v="HTE"/>
    <x v="0"/>
    <s v="Manual"/>
    <n v="1"/>
    <n v="1519328"/>
    <n v="17564"/>
    <x v="2"/>
    <x v="25"/>
  </r>
  <r>
    <x v="20"/>
    <s v="Kia Motors Pvt Ltd"/>
    <x v="2"/>
    <x v="5"/>
    <x v="0"/>
    <s v="HTX"/>
    <x v="1"/>
    <s v="Manual"/>
    <n v="2"/>
    <n v="1319201"/>
    <n v="43122"/>
    <x v="0"/>
    <x v="26"/>
  </r>
  <r>
    <x v="21"/>
    <s v="Admire Wheels  Pvt Ltd"/>
    <x v="1"/>
    <x v="0"/>
    <x v="3"/>
    <s v="HTE"/>
    <x v="2"/>
    <s v="Manual"/>
    <n v="1"/>
    <n v="1537439"/>
    <n v="60536"/>
    <x v="0"/>
    <x v="27"/>
  </r>
  <r>
    <x v="22"/>
    <s v="Admire Wheels  Pvt Ltd"/>
    <x v="1"/>
    <x v="4"/>
    <x v="2"/>
    <s v="X-Line"/>
    <x v="0"/>
    <s v="Manual"/>
    <n v="3"/>
    <n v="5979327"/>
    <n v="59862"/>
    <x v="2"/>
    <x v="28"/>
  </r>
  <r>
    <x v="10"/>
    <s v="Admire Wheels  Pvt Ltd"/>
    <x v="1"/>
    <x v="5"/>
    <x v="2"/>
    <s v="HTK"/>
    <x v="1"/>
    <s v="Manual"/>
    <n v="1"/>
    <n v="6030808"/>
    <n v="97795"/>
    <x v="0"/>
    <x v="29"/>
  </r>
  <r>
    <x v="23"/>
    <s v="Speed Auto Kia Pvt Ltd"/>
    <x v="0"/>
    <x v="4"/>
    <x v="3"/>
    <s v="X-Line"/>
    <x v="1"/>
    <s v="Automatic"/>
    <n v="1"/>
    <n v="1490515"/>
    <n v="70670"/>
    <x v="1"/>
    <x v="30"/>
  </r>
  <r>
    <x v="6"/>
    <s v="Royal Kia  Pvt Ltd"/>
    <x v="5"/>
    <x v="0"/>
    <x v="3"/>
    <s v="GTX"/>
    <x v="1"/>
    <s v="Automatic"/>
    <n v="1"/>
    <n v="1515055"/>
    <n v="27485"/>
    <x v="1"/>
    <x v="31"/>
  </r>
  <r>
    <x v="24"/>
    <s v="Speed Auto Kia Pvt Ltd"/>
    <x v="0"/>
    <x v="4"/>
    <x v="0"/>
    <s v="HTK"/>
    <x v="1"/>
    <s v="Manual"/>
    <n v="1"/>
    <n v="1341660"/>
    <n v="30000"/>
    <x v="2"/>
    <x v="32"/>
  </r>
  <r>
    <x v="12"/>
    <s v="Star Kia  Pvt Ltd"/>
    <x v="3"/>
    <x v="2"/>
    <x v="3"/>
    <s v="HTE"/>
    <x v="0"/>
    <s v="Automatic"/>
    <n v="3"/>
    <n v="1542050"/>
    <n v="52040"/>
    <x v="1"/>
    <x v="33"/>
  </r>
  <r>
    <x v="4"/>
    <s v="Elite Kia  Pvt Ltd"/>
    <x v="4"/>
    <x v="3"/>
    <x v="3"/>
    <s v="HTK"/>
    <x v="2"/>
    <s v="Automatic"/>
    <n v="1"/>
    <n v="1519590"/>
    <n v="12507"/>
    <x v="0"/>
    <x v="34"/>
  </r>
  <r>
    <x v="25"/>
    <s v="Elite Kia Pvt Ltd"/>
    <x v="4"/>
    <x v="4"/>
    <x v="2"/>
    <s v="X-Line"/>
    <x v="2"/>
    <s v="Manual"/>
    <n v="3"/>
    <n v="5980315"/>
    <n v="100488"/>
    <x v="0"/>
    <x v="35"/>
  </r>
  <r>
    <x v="26"/>
    <s v="Elite Kia Pvt Ltd"/>
    <x v="4"/>
    <x v="1"/>
    <x v="1"/>
    <s v="X-Line"/>
    <x v="0"/>
    <s v="Automatic"/>
    <n v="2"/>
    <n v="901651"/>
    <n v="33869"/>
    <x v="0"/>
    <x v="36"/>
  </r>
  <r>
    <x v="27"/>
    <s v="Elite Kia Pvt Ltd"/>
    <x v="4"/>
    <x v="5"/>
    <x v="1"/>
    <s v="HTX"/>
    <x v="2"/>
    <s v="Automatic"/>
    <n v="2"/>
    <n v="931077"/>
    <n v="53705"/>
    <x v="0"/>
    <x v="37"/>
  </r>
  <r>
    <x v="25"/>
    <s v="Royal Kia Pvt Ltd"/>
    <x v="5"/>
    <x v="4"/>
    <x v="0"/>
    <s v="GTX"/>
    <x v="0"/>
    <s v="Automatic"/>
    <n v="3"/>
    <n v="1349390"/>
    <n v="54388"/>
    <x v="2"/>
    <x v="38"/>
  </r>
  <r>
    <x v="28"/>
    <s v="Kia Motors Pvt Ltd"/>
    <x v="2"/>
    <x v="3"/>
    <x v="3"/>
    <s v="HTX"/>
    <x v="0"/>
    <s v="Automatic"/>
    <n v="3"/>
    <n v="1562692"/>
    <n v="61495"/>
    <x v="2"/>
    <x v="39"/>
  </r>
  <r>
    <x v="22"/>
    <s v="Elite Kia Pvt Ltd"/>
    <x v="4"/>
    <x v="0"/>
    <x v="2"/>
    <s v="HTK"/>
    <x v="1"/>
    <s v="Automatic"/>
    <n v="1"/>
    <n v="6074042"/>
    <n v="146463"/>
    <x v="0"/>
    <x v="40"/>
  </r>
  <r>
    <x v="13"/>
    <s v="Royal Kia Pvt Ltd"/>
    <x v="5"/>
    <x v="4"/>
    <x v="1"/>
    <s v="HTK"/>
    <x v="1"/>
    <s v="Manual"/>
    <n v="1"/>
    <n v="931374"/>
    <n v="24722"/>
    <x v="1"/>
    <x v="41"/>
  </r>
  <r>
    <x v="29"/>
    <s v="Speed Auto Kia Pvt Ltd"/>
    <x v="0"/>
    <x v="2"/>
    <x v="1"/>
    <s v="GTX"/>
    <x v="2"/>
    <s v="Automatic"/>
    <n v="3"/>
    <n v="900970"/>
    <n v="57077"/>
    <x v="1"/>
    <x v="42"/>
  </r>
  <r>
    <x v="4"/>
    <s v="Speed Auto Kia Pvt Ltd"/>
    <x v="0"/>
    <x v="3"/>
    <x v="1"/>
    <s v="HTE"/>
    <x v="2"/>
    <s v="Manual"/>
    <n v="3"/>
    <n v="907367"/>
    <n v="21526"/>
    <x v="0"/>
    <x v="43"/>
  </r>
  <r>
    <x v="30"/>
    <s v="Kia Motors  Pvt Ltd"/>
    <x v="2"/>
    <x v="3"/>
    <x v="1"/>
    <s v="GTX"/>
    <x v="0"/>
    <s v="Automatic"/>
    <n v="3"/>
    <n v="971803"/>
    <n v="53750"/>
    <x v="2"/>
    <x v="44"/>
  </r>
  <r>
    <x v="15"/>
    <s v="Royal Kia Pvt Ltd"/>
    <x v="5"/>
    <x v="4"/>
    <x v="2"/>
    <s v="HTK"/>
    <x v="0"/>
    <s v="Automatic"/>
    <n v="2"/>
    <n v="6074433"/>
    <n v="108991"/>
    <x v="0"/>
    <x v="45"/>
  </r>
  <r>
    <x v="27"/>
    <s v="Speed Auto Kia Pvt Ltd"/>
    <x v="0"/>
    <x v="4"/>
    <x v="0"/>
    <s v="HTX"/>
    <x v="2"/>
    <s v="Automatic"/>
    <n v="2"/>
    <n v="1270311"/>
    <n v="56762"/>
    <x v="2"/>
    <x v="46"/>
  </r>
  <r>
    <x v="29"/>
    <s v="Kia Motors  Pvt Ltd"/>
    <x v="2"/>
    <x v="0"/>
    <x v="0"/>
    <s v="HTK"/>
    <x v="1"/>
    <s v="Manual"/>
    <n v="1"/>
    <n v="1350410"/>
    <n v="55478"/>
    <x v="2"/>
    <x v="47"/>
  </r>
  <r>
    <x v="8"/>
    <s v="Speed Auto Kia Pvt Ltd"/>
    <x v="0"/>
    <x v="2"/>
    <x v="3"/>
    <s v="X-Line"/>
    <x v="2"/>
    <s v="Manual"/>
    <n v="1"/>
    <n v="1558992"/>
    <n v="14080"/>
    <x v="0"/>
    <x v="48"/>
  </r>
  <r>
    <x v="11"/>
    <s v="Star Kia Pvt Ltd"/>
    <x v="3"/>
    <x v="2"/>
    <x v="2"/>
    <s v="HTE"/>
    <x v="0"/>
    <s v="Manual"/>
    <n v="2"/>
    <n v="6028279"/>
    <n v="148759"/>
    <x v="2"/>
    <x v="49"/>
  </r>
  <r>
    <x v="31"/>
    <s v="Speed Auto Kia Pvt Ltd"/>
    <x v="0"/>
    <x v="0"/>
    <x v="3"/>
    <s v="GTX"/>
    <x v="0"/>
    <s v="Automatic"/>
    <n v="2"/>
    <n v="1457608"/>
    <n v="35484"/>
    <x v="0"/>
    <x v="50"/>
  </r>
  <r>
    <x v="8"/>
    <s v="Elite Kia  Pvt Ltd"/>
    <x v="4"/>
    <x v="3"/>
    <x v="2"/>
    <s v="HTK"/>
    <x v="0"/>
    <s v="Manual"/>
    <n v="2"/>
    <n v="6090017"/>
    <n v="53534"/>
    <x v="1"/>
    <x v="51"/>
  </r>
  <r>
    <x v="32"/>
    <s v="Kia Motors Pvt Ltd"/>
    <x v="2"/>
    <x v="5"/>
    <x v="0"/>
    <s v="GTX"/>
    <x v="1"/>
    <s v="Automatic"/>
    <n v="2"/>
    <n v="1263181"/>
    <n v="27049"/>
    <x v="2"/>
    <x v="52"/>
  </r>
  <r>
    <x v="32"/>
    <s v="Speed Auto Kia Pvt Ltd"/>
    <x v="0"/>
    <x v="1"/>
    <x v="2"/>
    <s v="HTX"/>
    <x v="0"/>
    <s v="Manual"/>
    <n v="2"/>
    <n v="6016131"/>
    <n v="60735"/>
    <x v="2"/>
    <x v="53"/>
  </r>
  <r>
    <x v="17"/>
    <s v="Admire Wheels  Pvt Ltd"/>
    <x v="1"/>
    <x v="3"/>
    <x v="1"/>
    <s v="HTE"/>
    <x v="1"/>
    <s v="Manual"/>
    <n v="1"/>
    <n v="914823"/>
    <n v="23065"/>
    <x v="1"/>
    <x v="54"/>
  </r>
  <r>
    <x v="33"/>
    <s v="Kia Motors  Pvt Ltd"/>
    <x v="2"/>
    <x v="5"/>
    <x v="1"/>
    <s v="X-Line"/>
    <x v="1"/>
    <s v="Manual"/>
    <n v="2"/>
    <n v="971905"/>
    <n v="55840"/>
    <x v="1"/>
    <x v="55"/>
  </r>
  <r>
    <x v="25"/>
    <s v="Admire Wheels  Pvt Ltd"/>
    <x v="1"/>
    <x v="2"/>
    <x v="1"/>
    <s v="X-Line"/>
    <x v="2"/>
    <s v="Manual"/>
    <n v="3"/>
    <n v="931777"/>
    <n v="47735"/>
    <x v="1"/>
    <x v="56"/>
  </r>
  <r>
    <x v="14"/>
    <s v="Royal Kia  Pvt Ltd"/>
    <x v="5"/>
    <x v="1"/>
    <x v="1"/>
    <s v="HTX"/>
    <x v="2"/>
    <s v="Automatic"/>
    <n v="3"/>
    <n v="881733"/>
    <n v="62181"/>
    <x v="0"/>
    <x v="57"/>
  </r>
  <r>
    <x v="34"/>
    <s v="Royal Kia Pvt Ltd"/>
    <x v="5"/>
    <x v="2"/>
    <x v="1"/>
    <s v="X-Line"/>
    <x v="1"/>
    <s v="Automatic"/>
    <n v="2"/>
    <n v="939451"/>
    <n v="10829"/>
    <x v="2"/>
    <x v="58"/>
  </r>
  <r>
    <x v="35"/>
    <s v="Kia Motors  Pvt Ltd"/>
    <x v="2"/>
    <x v="5"/>
    <x v="0"/>
    <s v="GTX"/>
    <x v="0"/>
    <s v="Automatic"/>
    <n v="3"/>
    <n v="1386772"/>
    <n v="73273"/>
    <x v="2"/>
    <x v="59"/>
  </r>
  <r>
    <x v="10"/>
    <s v="Kia Motors Pvt Ltd"/>
    <x v="2"/>
    <x v="4"/>
    <x v="3"/>
    <s v="HTX"/>
    <x v="2"/>
    <s v="Automatic"/>
    <n v="2"/>
    <n v="1472718"/>
    <n v="28279"/>
    <x v="2"/>
    <x v="60"/>
  </r>
  <r>
    <x v="1"/>
    <s v="Kia Motors Pvt Ltd"/>
    <x v="2"/>
    <x v="5"/>
    <x v="2"/>
    <s v="HTX"/>
    <x v="2"/>
    <s v="Automatic"/>
    <n v="2"/>
    <n v="6077808"/>
    <n v="77802"/>
    <x v="0"/>
    <x v="61"/>
  </r>
  <r>
    <x v="31"/>
    <s v="Kia Motors Pvt Ltd"/>
    <x v="2"/>
    <x v="2"/>
    <x v="1"/>
    <s v="X-Line"/>
    <x v="2"/>
    <s v="Manual"/>
    <n v="3"/>
    <n v="872442"/>
    <n v="25817"/>
    <x v="0"/>
    <x v="62"/>
  </r>
  <r>
    <x v="11"/>
    <s v="Admire Wheels  Pvt Ltd"/>
    <x v="1"/>
    <x v="2"/>
    <x v="2"/>
    <s v="GTX"/>
    <x v="0"/>
    <s v="Manual"/>
    <n v="1"/>
    <n v="5974393"/>
    <n v="88566"/>
    <x v="2"/>
    <x v="63"/>
  </r>
  <r>
    <x v="18"/>
    <s v="Elite Kia  Pvt Ltd"/>
    <x v="4"/>
    <x v="3"/>
    <x v="2"/>
    <s v="X-Line"/>
    <x v="2"/>
    <s v="Automatic"/>
    <n v="3"/>
    <n v="6040113"/>
    <n v="105771"/>
    <x v="0"/>
    <x v="64"/>
  </r>
  <r>
    <x v="36"/>
    <s v="Star Kia  Pvt Ltd"/>
    <x v="3"/>
    <x v="4"/>
    <x v="3"/>
    <s v="HTX"/>
    <x v="2"/>
    <s v="Manual"/>
    <n v="3"/>
    <n v="1510434"/>
    <n v="17907"/>
    <x v="0"/>
    <x v="65"/>
  </r>
  <r>
    <x v="0"/>
    <s v="Royal Kia  Pvt Ltd"/>
    <x v="5"/>
    <x v="3"/>
    <x v="0"/>
    <s v="HTK"/>
    <x v="0"/>
    <s v="Automatic"/>
    <n v="3"/>
    <n v="1376929"/>
    <n v="28120"/>
    <x v="1"/>
    <x v="66"/>
  </r>
  <r>
    <x v="37"/>
    <s v="Star Kia  Pvt Ltd"/>
    <x v="3"/>
    <x v="0"/>
    <x v="3"/>
    <s v="HTK"/>
    <x v="0"/>
    <s v="Manual"/>
    <n v="1"/>
    <n v="1497039"/>
    <n v="29809"/>
    <x v="2"/>
    <x v="67"/>
  </r>
  <r>
    <x v="38"/>
    <s v="Star Kia  Pvt Ltd"/>
    <x v="3"/>
    <x v="1"/>
    <x v="1"/>
    <s v="X-Line"/>
    <x v="1"/>
    <s v="Automatic"/>
    <n v="2"/>
    <n v="883103"/>
    <n v="51803"/>
    <x v="2"/>
    <x v="68"/>
  </r>
  <r>
    <x v="39"/>
    <s v="Kia Motors  Pvt Ltd"/>
    <x v="2"/>
    <x v="1"/>
    <x v="2"/>
    <s v="HTX"/>
    <x v="1"/>
    <s v="Automatic"/>
    <n v="2"/>
    <n v="5963468"/>
    <n v="83092"/>
    <x v="2"/>
    <x v="69"/>
  </r>
  <r>
    <x v="19"/>
    <s v="Kia Motors Pvt Ltd"/>
    <x v="2"/>
    <x v="1"/>
    <x v="1"/>
    <s v="HTK"/>
    <x v="1"/>
    <s v="Manual"/>
    <n v="2"/>
    <n v="997545"/>
    <n v="72201"/>
    <x v="0"/>
    <x v="70"/>
  </r>
  <r>
    <x v="20"/>
    <s v="Speed Auto Kia Pvt Ltd"/>
    <x v="0"/>
    <x v="5"/>
    <x v="0"/>
    <s v="X-Line"/>
    <x v="0"/>
    <s v="Automatic"/>
    <n v="2"/>
    <n v="1368099"/>
    <n v="69539"/>
    <x v="2"/>
    <x v="71"/>
  </r>
  <r>
    <x v="40"/>
    <s v="Royal Kia  Pvt Ltd"/>
    <x v="5"/>
    <x v="1"/>
    <x v="1"/>
    <s v="HTK"/>
    <x v="1"/>
    <s v="Manual"/>
    <n v="3"/>
    <n v="905318"/>
    <n v="27343"/>
    <x v="1"/>
    <x v="72"/>
  </r>
  <r>
    <x v="14"/>
    <s v="Speed Auto Kia Pvt Ltd"/>
    <x v="0"/>
    <x v="2"/>
    <x v="0"/>
    <s v="HTE"/>
    <x v="2"/>
    <s v="Manual"/>
    <n v="3"/>
    <n v="1368096"/>
    <n v="55178"/>
    <x v="1"/>
    <x v="73"/>
  </r>
  <r>
    <x v="41"/>
    <s v="Admire Wheels  Pvt Ltd"/>
    <x v="1"/>
    <x v="0"/>
    <x v="3"/>
    <s v="GTX"/>
    <x v="0"/>
    <s v="Manual"/>
    <n v="2"/>
    <n v="1511190"/>
    <n v="70549"/>
    <x v="2"/>
    <x v="74"/>
  </r>
  <r>
    <x v="6"/>
    <s v="Star Kia Pvt Ltd"/>
    <x v="3"/>
    <x v="4"/>
    <x v="0"/>
    <s v="HTK"/>
    <x v="2"/>
    <s v="Automatic"/>
    <n v="1"/>
    <n v="1287286"/>
    <n v="14679"/>
    <x v="2"/>
    <x v="75"/>
  </r>
  <r>
    <x v="42"/>
    <s v="Royal Kia Pvt Ltd"/>
    <x v="5"/>
    <x v="3"/>
    <x v="2"/>
    <s v="HTX"/>
    <x v="2"/>
    <s v="Automatic"/>
    <n v="3"/>
    <n v="6055515"/>
    <n v="85683"/>
    <x v="1"/>
    <x v="76"/>
  </r>
  <r>
    <x v="36"/>
    <s v="Elite Kia Pvt Ltd"/>
    <x v="4"/>
    <x v="4"/>
    <x v="2"/>
    <s v="HTX"/>
    <x v="0"/>
    <s v="Manual"/>
    <n v="1"/>
    <n v="6015632"/>
    <n v="53390"/>
    <x v="0"/>
    <x v="77"/>
  </r>
  <r>
    <x v="11"/>
    <s v="Speed Auto Kia Pvt Ltd"/>
    <x v="0"/>
    <x v="5"/>
    <x v="1"/>
    <s v="HTK"/>
    <x v="1"/>
    <s v="Automatic"/>
    <n v="2"/>
    <n v="986043"/>
    <n v="52697"/>
    <x v="0"/>
    <x v="78"/>
  </r>
  <r>
    <x v="6"/>
    <s v="Star Kia Pvt Ltd"/>
    <x v="3"/>
    <x v="0"/>
    <x v="1"/>
    <s v="GTX"/>
    <x v="1"/>
    <s v="Manual"/>
    <n v="2"/>
    <n v="957046"/>
    <n v="31843"/>
    <x v="2"/>
    <x v="79"/>
  </r>
  <r>
    <x v="8"/>
    <s v="Royal Kia Pvt Ltd"/>
    <x v="5"/>
    <x v="1"/>
    <x v="2"/>
    <s v="HTX"/>
    <x v="2"/>
    <s v="Manual"/>
    <n v="3"/>
    <n v="6054976"/>
    <n v="149680"/>
    <x v="2"/>
    <x v="80"/>
  </r>
  <r>
    <x v="31"/>
    <s v="Speed Auto Kia Pvt Ltd"/>
    <x v="0"/>
    <x v="0"/>
    <x v="3"/>
    <s v="HTE"/>
    <x v="0"/>
    <s v="Automatic"/>
    <n v="1"/>
    <n v="1584898"/>
    <n v="64062"/>
    <x v="2"/>
    <x v="81"/>
  </r>
  <r>
    <x v="4"/>
    <s v="Star Kia Pvt Ltd"/>
    <x v="3"/>
    <x v="1"/>
    <x v="0"/>
    <s v="X-Line"/>
    <x v="1"/>
    <s v="Automatic"/>
    <n v="2"/>
    <n v="1380676"/>
    <n v="50986"/>
    <x v="0"/>
    <x v="82"/>
  </r>
  <r>
    <x v="35"/>
    <s v="Royal Kia Pvt Ltd"/>
    <x v="5"/>
    <x v="0"/>
    <x v="3"/>
    <s v="GTX"/>
    <x v="0"/>
    <s v="Manual"/>
    <n v="1"/>
    <n v="1577064"/>
    <n v="17957"/>
    <x v="0"/>
    <x v="83"/>
  </r>
  <r>
    <x v="0"/>
    <s v="Admire Wheels  Pvt Ltd"/>
    <x v="1"/>
    <x v="4"/>
    <x v="3"/>
    <s v="X-Line"/>
    <x v="1"/>
    <s v="Automatic"/>
    <n v="1"/>
    <n v="1594769"/>
    <n v="36738"/>
    <x v="1"/>
    <x v="84"/>
  </r>
  <r>
    <x v="38"/>
    <s v="Elite Kia  Pvt Ltd"/>
    <x v="4"/>
    <x v="2"/>
    <x v="2"/>
    <s v="HTX"/>
    <x v="1"/>
    <s v="Automatic"/>
    <n v="2"/>
    <n v="6021676"/>
    <n v="104459"/>
    <x v="0"/>
    <x v="85"/>
  </r>
  <r>
    <x v="28"/>
    <s v="Elite Kia  Pvt Ltd"/>
    <x v="4"/>
    <x v="1"/>
    <x v="2"/>
    <s v="HTK"/>
    <x v="2"/>
    <s v="Automatic"/>
    <n v="1"/>
    <n v="6083232"/>
    <n v="147818"/>
    <x v="2"/>
    <x v="86"/>
  </r>
  <r>
    <x v="38"/>
    <s v="Royal Kia Pvt Ltd"/>
    <x v="5"/>
    <x v="3"/>
    <x v="1"/>
    <s v="HTX"/>
    <x v="0"/>
    <s v="Automatic"/>
    <n v="3"/>
    <n v="928264"/>
    <n v="64884"/>
    <x v="1"/>
    <x v="87"/>
  </r>
  <r>
    <x v="32"/>
    <s v="Star Kia Pvt Ltd"/>
    <x v="3"/>
    <x v="2"/>
    <x v="2"/>
    <s v="HTX"/>
    <x v="2"/>
    <s v="Automatic"/>
    <n v="3"/>
    <n v="6094681"/>
    <n v="149991"/>
    <x v="1"/>
    <x v="88"/>
  </r>
  <r>
    <x v="15"/>
    <s v="Speed Auto Kia Pvt Ltd"/>
    <x v="0"/>
    <x v="2"/>
    <x v="2"/>
    <s v="HTK"/>
    <x v="0"/>
    <s v="Automatic"/>
    <n v="3"/>
    <n v="5961441"/>
    <n v="91704"/>
    <x v="2"/>
    <x v="89"/>
  </r>
  <r>
    <x v="41"/>
    <s v="Kia Motors  Pvt Ltd"/>
    <x v="2"/>
    <x v="1"/>
    <x v="2"/>
    <s v="HTE"/>
    <x v="2"/>
    <s v="Manual"/>
    <n v="2"/>
    <n v="6081672"/>
    <n v="127356"/>
    <x v="0"/>
    <x v="90"/>
  </r>
  <r>
    <x v="4"/>
    <s v="Speed Auto Kia Pvt Ltd"/>
    <x v="0"/>
    <x v="5"/>
    <x v="1"/>
    <s v="HTK"/>
    <x v="2"/>
    <s v="Automatic"/>
    <n v="2"/>
    <n v="890464"/>
    <n v="14903"/>
    <x v="0"/>
    <x v="91"/>
  </r>
  <r>
    <x v="22"/>
    <s v="Speed Auto Kia Pvt Ltd"/>
    <x v="0"/>
    <x v="2"/>
    <x v="3"/>
    <s v="X-Line"/>
    <x v="0"/>
    <s v="Manual"/>
    <n v="3"/>
    <n v="1533010"/>
    <n v="51077"/>
    <x v="0"/>
    <x v="92"/>
  </r>
  <r>
    <x v="9"/>
    <s v="Kia Motors Pvt Ltd"/>
    <x v="2"/>
    <x v="0"/>
    <x v="0"/>
    <s v="HTX"/>
    <x v="0"/>
    <s v="Manual"/>
    <n v="1"/>
    <n v="1273692"/>
    <n v="38440"/>
    <x v="2"/>
    <x v="93"/>
  </r>
  <r>
    <x v="21"/>
    <s v="Admire Wheels  Pvt Ltd"/>
    <x v="1"/>
    <x v="5"/>
    <x v="3"/>
    <s v="HTE"/>
    <x v="2"/>
    <s v="Automatic"/>
    <n v="1"/>
    <n v="1535032"/>
    <n v="62176"/>
    <x v="2"/>
    <x v="94"/>
  </r>
  <r>
    <x v="40"/>
    <s v="Speed Auto Kia Pvt Ltd"/>
    <x v="0"/>
    <x v="4"/>
    <x v="0"/>
    <s v="X-Line"/>
    <x v="1"/>
    <s v="Manual"/>
    <n v="1"/>
    <n v="1398354"/>
    <n v="54682"/>
    <x v="0"/>
    <x v="95"/>
  </r>
  <r>
    <x v="17"/>
    <s v="Elite Kia Pvt Ltd"/>
    <x v="4"/>
    <x v="0"/>
    <x v="0"/>
    <s v="GTX"/>
    <x v="2"/>
    <s v="Automatic"/>
    <n v="2"/>
    <n v="1287517"/>
    <n v="25216"/>
    <x v="2"/>
    <x v="96"/>
  </r>
  <r>
    <x v="0"/>
    <s v="Royal Kia Pvt Ltd"/>
    <x v="5"/>
    <x v="2"/>
    <x v="2"/>
    <s v="HTX"/>
    <x v="2"/>
    <s v="Automatic"/>
    <n v="1"/>
    <n v="6093287"/>
    <n v="70706"/>
    <x v="0"/>
    <x v="97"/>
  </r>
  <r>
    <x v="28"/>
    <s v="Star Kia  Pvt Ltd"/>
    <x v="3"/>
    <x v="1"/>
    <x v="3"/>
    <s v="GTX"/>
    <x v="1"/>
    <s v="Automatic"/>
    <n v="2"/>
    <n v="1502223"/>
    <n v="35211"/>
    <x v="0"/>
    <x v="98"/>
  </r>
  <r>
    <x v="10"/>
    <s v="Admire Wheels Pvt Ltd"/>
    <x v="1"/>
    <x v="3"/>
    <x v="3"/>
    <s v="HTX"/>
    <x v="0"/>
    <s v="Manual"/>
    <n v="1"/>
    <n v="1553758"/>
    <n v="27988"/>
    <x v="0"/>
    <x v="9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s v="Anjali Das"/>
    <x v="0"/>
    <s v="HTK"/>
    <x v="0"/>
    <s v="Manual"/>
    <n v="3"/>
    <n v="1349471"/>
    <n v="27691"/>
    <s v="Lease"/>
    <s v="Aarav Mehta"/>
    <n v="56502.66"/>
    <n v="2556048.3199999998"/>
  </r>
  <r>
    <x v="1"/>
    <s v="Amit Sharma"/>
    <x v="1"/>
    <s v="HTK"/>
    <x v="1"/>
    <s v="Automatic"/>
    <n v="2"/>
    <n v="932694"/>
    <n v="36290"/>
    <s v="Cash"/>
    <s v="Priya Sharma"/>
    <n v="56502.66"/>
    <n v="2556048.3199999998"/>
  </r>
  <r>
    <x v="2"/>
    <s v="Anjali Das"/>
    <x v="2"/>
    <s v="GTX"/>
    <x v="0"/>
    <s v="Automatic"/>
    <n v="1"/>
    <n v="6019436"/>
    <n v="68301"/>
    <s v="Lease"/>
    <s v="Rohan Nair"/>
    <n v="56793.686868686869"/>
    <n v="2568235.9696969697"/>
  </r>
  <r>
    <x v="2"/>
    <s v="Amit Sharma"/>
    <x v="2"/>
    <s v="HTX"/>
    <x v="1"/>
    <s v="Manual"/>
    <n v="2"/>
    <n v="5986262"/>
    <n v="116784"/>
    <s v="Cash"/>
    <s v="Sneha Verma"/>
    <n v="57002.908163265303"/>
    <n v="2584925.1734693879"/>
  </r>
  <r>
    <x v="1"/>
    <s v="Priya Menon"/>
    <x v="2"/>
    <s v="X-Line"/>
    <x v="0"/>
    <s v="Automatic"/>
    <n v="3"/>
    <n v="6050864"/>
    <n v="100019"/>
    <s v="Lease"/>
    <s v="Aditya Iyer"/>
    <n v="56886.432989690722"/>
    <n v="2549517.8453608248"/>
  </r>
  <r>
    <x v="3"/>
    <s v="Priya Menon"/>
    <x v="1"/>
    <s v="X-Line"/>
    <x v="1"/>
    <s v="Automatic"/>
    <n v="2"/>
    <n v="939174"/>
    <n v="17310"/>
    <s v="Cash"/>
    <s v="Neha Reddy"/>
    <n v="56262.5"/>
    <n v="2513718.4270833335"/>
  </r>
  <r>
    <x v="1"/>
    <s v="Vikas Rao"/>
    <x v="0"/>
    <s v="X-Line"/>
    <x v="0"/>
    <s v="Manual"/>
    <n v="3"/>
    <n v="1328235"/>
    <n v="65159"/>
    <s v="Cash"/>
    <s v="Karan Patel"/>
    <n v="55801.905263157896"/>
    <n v="2476485.3157894737"/>
  </r>
  <r>
    <x v="4"/>
    <s v="Priya Menon"/>
    <x v="0"/>
    <s v="X-Line"/>
    <x v="1"/>
    <s v="Manual"/>
    <n v="2"/>
    <n v="1250149"/>
    <n v="49252"/>
    <s v="Finance"/>
    <s v="Aishwarya Rao"/>
    <n v="56211.393617021276"/>
    <n v="2492839.6914893617"/>
  </r>
  <r>
    <x v="2"/>
    <s v="Amit Sharma"/>
    <x v="0"/>
    <s v="HTE"/>
    <x v="0"/>
    <s v="Automatic"/>
    <n v="1"/>
    <n v="1398729"/>
    <n v="72059"/>
    <s v="Cash"/>
    <s v="Vivek Bansal"/>
    <n v="56115.182795698922"/>
    <n v="2505362.3225806453"/>
  </r>
  <r>
    <x v="4"/>
    <s v="Vikas Rao"/>
    <x v="0"/>
    <s v="GTX"/>
    <x v="2"/>
    <s v="Manual"/>
    <n v="3"/>
    <n v="1293287"/>
    <n v="27370"/>
    <s v="Lease"/>
    <s v="Divya Singh"/>
    <n v="56189.782608695656"/>
    <n v="2519005.9456521738"/>
  </r>
  <r>
    <x v="5"/>
    <s v="Priya Menon"/>
    <x v="3"/>
    <s v="GTX"/>
    <x v="1"/>
    <s v="Manual"/>
    <n v="3"/>
    <n v="1547889"/>
    <n v="38711"/>
    <s v="Cash"/>
    <s v="Arjun Malhotra"/>
    <n v="56015.395604395606"/>
    <n v="2531316.6813186812"/>
  </r>
  <r>
    <x v="4"/>
    <s v="Neha Singh"/>
    <x v="3"/>
    <s v="HTE"/>
    <x v="1"/>
    <s v="Manual"/>
    <n v="3"/>
    <n v="1595207"/>
    <n v="25080"/>
    <s v="Lease"/>
    <s v="Tanya Gupta"/>
    <n v="56333.677777777775"/>
    <n v="2545072.5666666669"/>
  </r>
  <r>
    <x v="1"/>
    <s v="Neha Singh"/>
    <x v="0"/>
    <s v="HTE"/>
    <x v="2"/>
    <s v="Automatic"/>
    <n v="3"/>
    <n v="1336619"/>
    <n v="14643"/>
    <s v="Cash"/>
    <s v="Rohit Deshmukh"/>
    <n v="56531.685393258427"/>
    <n v="2556276.8764044945"/>
  </r>
  <r>
    <x v="0"/>
    <s v="Amit Sharma"/>
    <x v="2"/>
    <s v="HTK"/>
    <x v="0"/>
    <s v="Automatic"/>
    <n v="1"/>
    <n v="6056708"/>
    <n v="74957"/>
    <s v="Finance"/>
    <s v="Pooja Menon"/>
    <n v="56889.090909090912"/>
    <n v="2567198.125"/>
  </r>
  <r>
    <x v="5"/>
    <s v="Anjali Das"/>
    <x v="2"/>
    <s v="GTX"/>
    <x v="1"/>
    <s v="Manual"/>
    <n v="3"/>
    <n v="5964200"/>
    <n v="138259"/>
    <s v="Finance"/>
    <s v="Sameer Khan"/>
    <n v="57374.678160919539"/>
    <n v="2581342.7126436783"/>
  </r>
  <r>
    <x v="2"/>
    <s v="Neha Singh"/>
    <x v="1"/>
    <s v="HTK"/>
    <x v="2"/>
    <s v="Manual"/>
    <n v="2"/>
    <n v="899862"/>
    <n v="45146"/>
    <s v="Finance"/>
    <s v="Kritika Joshi"/>
    <n v="57170.232558139534"/>
    <n v="2540931.4883720931"/>
  </r>
  <r>
    <x v="0"/>
    <s v="Anjali Das"/>
    <x v="0"/>
    <s v="HTE"/>
    <x v="0"/>
    <s v="Manual"/>
    <n v="1"/>
    <n v="1394264"/>
    <n v="16416"/>
    <s v="Cash"/>
    <s v="Harshad Shetty"/>
    <n v="56216.24705882353"/>
    <n v="2500657.7411764706"/>
  </r>
  <r>
    <x v="0"/>
    <s v="Amit Sharma"/>
    <x v="0"/>
    <s v="GTX"/>
    <x v="1"/>
    <s v="Automatic"/>
    <n v="2"/>
    <n v="1376185"/>
    <n v="24008"/>
    <s v="Cash"/>
    <s v="Sakshi Aggarwal"/>
    <n v="56348.035714285717"/>
    <n v="2519714.8333333335"/>
  </r>
  <r>
    <x v="3"/>
    <s v="Vikas Rao"/>
    <x v="3"/>
    <s v="GTX"/>
    <x v="0"/>
    <s v="Automatic"/>
    <n v="3"/>
    <n v="1560888"/>
    <n v="55651"/>
    <s v="Cash"/>
    <s v="Deepak Yadav"/>
    <n v="56829.144578313251"/>
    <n v="2533274.4819277111"/>
  </r>
  <r>
    <x v="1"/>
    <s v="Ravi Patel"/>
    <x v="3"/>
    <s v="HTK"/>
    <x v="1"/>
    <s v="Manual"/>
    <n v="3"/>
    <n v="1592133"/>
    <n v="13994"/>
    <s v="Lease"/>
    <s v="Ananya Pillai"/>
    <n v="57229.402439024387"/>
    <n v="2547385.3292682925"/>
  </r>
  <r>
    <x v="4"/>
    <s v="Amit Sharma"/>
    <x v="0"/>
    <s v="HTE"/>
    <x v="0"/>
    <s v="Manual"/>
    <n v="1"/>
    <n v="1271000"/>
    <n v="65793"/>
    <s v="Lease"/>
    <s v="Saurabh Jain"/>
    <n v="57248.888888888891"/>
    <n v="2559564.3086419753"/>
  </r>
  <r>
    <x v="4"/>
    <s v="Amit Sharma"/>
    <x v="2"/>
    <s v="HTE"/>
    <x v="0"/>
    <s v="Manual"/>
    <n v="3"/>
    <n v="6014543"/>
    <n v="125880"/>
    <s v="Finance"/>
    <s v="Ritu Chauhan"/>
    <n v="57789.574999999997"/>
    <n v="2571657.2000000002"/>
  </r>
  <r>
    <x v="5"/>
    <s v="Priya Menon"/>
    <x v="3"/>
    <s v="HTK"/>
    <x v="1"/>
    <s v="Automatic"/>
    <n v="2"/>
    <n v="1532361"/>
    <n v="25642"/>
    <s v="Finance"/>
    <s v="Manish Dubey"/>
    <n v="57688.265822784808"/>
    <n v="2588121.2151898732"/>
  </r>
  <r>
    <x v="0"/>
    <s v="Vikas Rao"/>
    <x v="1"/>
    <s v="HTE"/>
    <x v="1"/>
    <s v="Automatic"/>
    <n v="1"/>
    <n v="997585"/>
    <n v="16552"/>
    <s v="Cash"/>
    <s v="Isha Kapoor"/>
    <n v="56814.01282051282"/>
    <n v="2544192.730769231"/>
  </r>
  <r>
    <x v="3"/>
    <s v="Vikas Rao"/>
    <x v="1"/>
    <s v="HTK"/>
    <x v="0"/>
    <s v="Automatic"/>
    <n v="2"/>
    <n v="924707"/>
    <n v="20338"/>
    <s v="Lease"/>
    <s v="Gaurav Singh"/>
    <n v="57218.844155844155"/>
    <n v="2557333.4025974027"/>
  </r>
  <r>
    <x v="2"/>
    <s v="Anjali Das"/>
    <x v="3"/>
    <s v="HTE"/>
    <x v="0"/>
    <s v="Manual"/>
    <n v="1"/>
    <n v="1519328"/>
    <n v="17564"/>
    <s v="Finance"/>
    <s v="Nidhi Soni"/>
    <n v="57753.934210526313"/>
    <n v="2577856.4078947366"/>
  </r>
  <r>
    <x v="2"/>
    <s v="Ravi Patel"/>
    <x v="0"/>
    <s v="HTX"/>
    <x v="1"/>
    <s v="Manual"/>
    <n v="2"/>
    <n v="1319201"/>
    <n v="43122"/>
    <s v="Lease"/>
    <s v="Abhishek Tiwari"/>
    <n v="58252.813333333332"/>
    <n v="2599898.4"/>
  </r>
  <r>
    <x v="1"/>
    <s v="Anjali Das"/>
    <x v="3"/>
    <s v="HTE"/>
    <x v="2"/>
    <s v="Manual"/>
    <n v="1"/>
    <n v="1537439"/>
    <n v="60536"/>
    <s v="Lease"/>
    <s v="Shreya Das"/>
    <n v="58802.66216216216"/>
    <n v="2614500.7027027025"/>
  </r>
  <r>
    <x v="1"/>
    <s v="Neha Singh"/>
    <x v="2"/>
    <s v="X-Line"/>
    <x v="0"/>
    <s v="Manual"/>
    <n v="3"/>
    <n v="5979327"/>
    <n v="59862"/>
    <s v="Finance"/>
    <s v="Kunal Chatterjee"/>
    <n v="59017.465753424658"/>
    <n v="2632244.5342465756"/>
  </r>
  <r>
    <x v="1"/>
    <s v="Ravi Patel"/>
    <x v="2"/>
    <s v="HTK"/>
    <x v="1"/>
    <s v="Manual"/>
    <n v="1"/>
    <n v="6030808"/>
    <n v="97795"/>
    <s v="Lease"/>
    <s v="Aditi Mishra"/>
    <n v="58996.375"/>
    <n v="2647450.1666666665"/>
  </r>
  <r>
    <x v="0"/>
    <s v="Neha Singh"/>
    <x v="3"/>
    <s v="X-Line"/>
    <x v="1"/>
    <s v="Automatic"/>
    <n v="1"/>
    <n v="1490515"/>
    <n v="70670"/>
    <s v="Cash"/>
    <s v="Mohit Chhabra"/>
    <n v="58984.183098591551"/>
    <n v="2600522.323943662"/>
  </r>
  <r>
    <x v="5"/>
    <s v="Anjali Das"/>
    <x v="3"/>
    <s v="GTX"/>
    <x v="1"/>
    <s v="Automatic"/>
    <n v="1"/>
    <n v="1515055"/>
    <n v="27485"/>
    <s v="Cash"/>
    <s v="Rachita Paul"/>
    <n v="58429.742857142854"/>
    <n v="2551518.2428571428"/>
  </r>
  <r>
    <x v="0"/>
    <s v="Neha Singh"/>
    <x v="0"/>
    <s v="HTK"/>
    <x v="1"/>
    <s v="Manual"/>
    <n v="1"/>
    <n v="1341660"/>
    <n v="30000"/>
    <s v="Finance"/>
    <s v="Yash Ghosh"/>
    <n v="58252.34782608696"/>
    <n v="2566895.1014492754"/>
  </r>
  <r>
    <x v="3"/>
    <s v="Priya Menon"/>
    <x v="3"/>
    <s v="HTE"/>
    <x v="0"/>
    <s v="Automatic"/>
    <n v="3"/>
    <n v="1542050"/>
    <n v="52040"/>
    <s v="Cash"/>
    <s v="Kavita Arora"/>
    <n v="58704.808823529413"/>
    <n v="2582363.338235294"/>
  </r>
  <r>
    <x v="4"/>
    <s v="Vikas Rao"/>
    <x v="3"/>
    <s v="HTK"/>
    <x v="2"/>
    <s v="Automatic"/>
    <n v="1"/>
    <n v="1519590"/>
    <n v="12507"/>
    <s v="Lease"/>
    <s v="Rajeev Sharma"/>
    <n v="59133.238805970148"/>
    <n v="2600881.2985074627"/>
  </r>
  <r>
    <x v="4"/>
    <s v="Neha Singh"/>
    <x v="2"/>
    <s v="X-Line"/>
    <x v="2"/>
    <s v="Manual"/>
    <n v="3"/>
    <n v="5980315"/>
    <n v="100488"/>
    <s v="Lease"/>
    <s v="Rupal Dey"/>
    <n v="59240.71212121212"/>
    <n v="2616924.1969696968"/>
  </r>
  <r>
    <x v="4"/>
    <s v="Amit Sharma"/>
    <x v="1"/>
    <s v="X-Line"/>
    <x v="0"/>
    <s v="Automatic"/>
    <n v="2"/>
    <n v="901651"/>
    <n v="33869"/>
    <s v="Lease"/>
    <s v="Chetan Mehra"/>
    <n v="59959.692307692305"/>
    <n v="2633806.2615384613"/>
  </r>
  <r>
    <x v="4"/>
    <s v="Ravi Patel"/>
    <x v="1"/>
    <s v="HTX"/>
    <x v="2"/>
    <s v="Automatic"/>
    <n v="2"/>
    <n v="931077"/>
    <n v="53705"/>
    <s v="Lease"/>
    <s v="Preeti Ramaswamy"/>
    <n v="59326.4375"/>
    <n v="2581517.0625"/>
  </r>
  <r>
    <x v="5"/>
    <s v="Neha Singh"/>
    <x v="0"/>
    <s v="GTX"/>
    <x v="0"/>
    <s v="Automatic"/>
    <n v="3"/>
    <n v="1349390"/>
    <n v="54388"/>
    <s v="Finance"/>
    <s v="Ashish Rao"/>
    <n v="59730.523809523809"/>
    <n v="2608181.6031746031"/>
  </r>
  <r>
    <x v="2"/>
    <s v="Vikas Rao"/>
    <x v="3"/>
    <s v="HTX"/>
    <x v="0"/>
    <s v="Automatic"/>
    <n v="3"/>
    <n v="1562692"/>
    <n v="61495"/>
    <s v="Finance"/>
    <s v="Payal Mukherjee"/>
    <n v="59827.709677419356"/>
    <n v="2635231.6774193547"/>
  </r>
  <r>
    <x v="4"/>
    <s v="Anjali Das"/>
    <x v="2"/>
    <s v="HTK"/>
    <x v="1"/>
    <s v="Automatic"/>
    <n v="1"/>
    <n v="6074042"/>
    <n v="146463"/>
    <s v="Lease"/>
    <s v="Devansh Chauhan"/>
    <n v="59916.885245901642"/>
    <n v="2656311.0491803279"/>
  </r>
  <r>
    <x v="5"/>
    <s v="Neha Singh"/>
    <x v="1"/>
    <s v="HTK"/>
    <x v="1"/>
    <s v="Manual"/>
    <n v="1"/>
    <n v="931374"/>
    <n v="24722"/>
    <s v="Cash"/>
    <s v="Bhavna Sethi"/>
    <n v="59890.583333333336"/>
    <n v="2674538.0333333332"/>
  </r>
  <r>
    <x v="0"/>
    <s v="Priya Menon"/>
    <x v="1"/>
    <s v="GTX"/>
    <x v="2"/>
    <s v="Automatic"/>
    <n v="3"/>
    <n v="900970"/>
    <n v="57077"/>
    <s v="Cash"/>
    <s v="Varun Iyer"/>
    <n v="58423.254237288136"/>
    <n v="2616919.3220338984"/>
  </r>
  <r>
    <x v="0"/>
    <s v="Vikas Rao"/>
    <x v="1"/>
    <s v="HTE"/>
    <x v="2"/>
    <s v="Manual"/>
    <n v="3"/>
    <n v="907367"/>
    <n v="21526"/>
    <s v="Lease"/>
    <s v="Snehal Patil"/>
    <n v="59004.310344827587"/>
    <n v="2645980.4482758623"/>
  </r>
  <r>
    <x v="2"/>
    <s v="Vikas Rao"/>
    <x v="1"/>
    <s v="GTX"/>
    <x v="0"/>
    <s v="Automatic"/>
    <n v="3"/>
    <n v="971803"/>
    <n v="53750"/>
    <s v="Finance"/>
    <s v="Rajat Kapoor"/>
    <n v="59038.122807017542"/>
    <n v="2676594.6666666665"/>
  </r>
  <r>
    <x v="5"/>
    <s v="Neha Singh"/>
    <x v="2"/>
    <s v="HTK"/>
    <x v="0"/>
    <s v="Automatic"/>
    <n v="2"/>
    <n v="6074433"/>
    <n v="108991"/>
    <s v="Lease"/>
    <s v="Megha Nair"/>
    <n v="59707.982142857145"/>
    <n v="2708188.0178571427"/>
  </r>
  <r>
    <x v="0"/>
    <s v="Neha Singh"/>
    <x v="0"/>
    <s v="HTX"/>
    <x v="2"/>
    <s v="Automatic"/>
    <n v="2"/>
    <n v="1270311"/>
    <n v="56762"/>
    <s v="Finance"/>
    <s v="Nikhil Bhatia"/>
    <n v="59816.30909090909"/>
    <n v="2739758.6545454548"/>
  </r>
  <r>
    <x v="2"/>
    <s v="Anjali Das"/>
    <x v="0"/>
    <s v="HTK"/>
    <x v="1"/>
    <s v="Manual"/>
    <n v="1"/>
    <n v="1350410"/>
    <n v="55478"/>
    <s v="Finance"/>
    <s v="Riya D’Souza"/>
    <n v="58905.666666666664"/>
    <n v="2678005.4259259258"/>
  </r>
  <r>
    <x v="0"/>
    <s v="Priya Menon"/>
    <x v="3"/>
    <s v="X-Line"/>
    <x v="2"/>
    <s v="Manual"/>
    <n v="1"/>
    <n v="1558992"/>
    <n v="14080"/>
    <s v="Lease"/>
    <s v="Aman Khanna"/>
    <n v="58946.113207547169"/>
    <n v="2704565.6981132077"/>
  </r>
  <r>
    <x v="3"/>
    <s v="Priya Menon"/>
    <x v="2"/>
    <s v="HTE"/>
    <x v="0"/>
    <s v="Manual"/>
    <n v="2"/>
    <n v="6028279"/>
    <n v="148759"/>
    <s v="Finance"/>
    <s v="Charvi Gaur"/>
    <n v="59012.807692307695"/>
    <n v="2730607.153846154"/>
  </r>
  <r>
    <x v="0"/>
    <s v="Anjali Das"/>
    <x v="3"/>
    <s v="GTX"/>
    <x v="0"/>
    <s v="Automatic"/>
    <n v="2"/>
    <n v="1457608"/>
    <n v="35484"/>
    <s v="Lease"/>
    <s v="Sandeep Menon"/>
    <n v="59893.843137254902"/>
    <n v="2753580"/>
  </r>
  <r>
    <x v="4"/>
    <s v="Vikas Rao"/>
    <x v="2"/>
    <s v="HTK"/>
    <x v="0"/>
    <s v="Manual"/>
    <n v="2"/>
    <n v="6090017"/>
    <n v="53534"/>
    <s v="Cash"/>
    <s v="Shruti Joshi"/>
    <n v="58116.54"/>
    <n v="2688086.02"/>
  </r>
  <r>
    <x v="2"/>
    <s v="Ravi Patel"/>
    <x v="0"/>
    <s v="GTX"/>
    <x v="1"/>
    <s v="Automatic"/>
    <n v="2"/>
    <n v="1263181"/>
    <n v="27049"/>
    <s v="Finance"/>
    <s v="Chirag Shah"/>
    <n v="58578.428571428572"/>
    <n v="2713197.8163265307"/>
  </r>
  <r>
    <x v="0"/>
    <s v="Amit Sharma"/>
    <x v="2"/>
    <s v="HTX"/>
    <x v="0"/>
    <s v="Manual"/>
    <n v="2"/>
    <n v="6016131"/>
    <n v="60735"/>
    <s v="Finance"/>
    <s v="Tanvi Reddy"/>
    <n v="58683.520833333336"/>
    <n v="2642847.4166666665"/>
  </r>
  <r>
    <x v="1"/>
    <s v="Vikas Rao"/>
    <x v="1"/>
    <s v="HTE"/>
    <x v="1"/>
    <s v="Manual"/>
    <n v="1"/>
    <n v="914823"/>
    <n v="23065"/>
    <s v="Cash"/>
    <s v="Vipul Jain"/>
    <n v="59356.595744680853"/>
    <n v="2672202.0212765955"/>
  </r>
  <r>
    <x v="2"/>
    <s v="Ravi Patel"/>
    <x v="1"/>
    <s v="X-Line"/>
    <x v="1"/>
    <s v="Manual"/>
    <n v="2"/>
    <n v="971905"/>
    <n v="55840"/>
    <s v="Cash"/>
    <s v="Garima Bhatnagar"/>
    <n v="59326.630434782608"/>
    <n v="2599507.913043478"/>
  </r>
  <r>
    <x v="1"/>
    <s v="Priya Menon"/>
    <x v="1"/>
    <s v="X-Line"/>
    <x v="2"/>
    <s v="Manual"/>
    <n v="3"/>
    <n v="931777"/>
    <n v="47735"/>
    <s v="Cash"/>
    <s v="Parth Desai"/>
    <n v="60132.444444444445"/>
    <n v="2636945.3555555558"/>
  </r>
  <r>
    <x v="5"/>
    <s v="Amit Sharma"/>
    <x v="1"/>
    <s v="HTX"/>
    <x v="2"/>
    <s v="Automatic"/>
    <n v="3"/>
    <n v="881733"/>
    <n v="62181"/>
    <s v="Lease"/>
    <s v="Mitali Basu"/>
    <n v="60230"/>
    <n v="2674787.1818181816"/>
  </r>
  <r>
    <x v="5"/>
    <s v="Priya Menon"/>
    <x v="1"/>
    <s v="X-Line"/>
    <x v="1"/>
    <s v="Automatic"/>
    <n v="2"/>
    <n v="939451"/>
    <n v="10829"/>
    <s v="Finance"/>
    <s v="Anuj Kumar"/>
    <n v="60520.58139534884"/>
    <n v="2715322.3023255812"/>
  </r>
  <r>
    <x v="2"/>
    <s v="Ravi Patel"/>
    <x v="0"/>
    <s v="GTX"/>
    <x v="0"/>
    <s v="Automatic"/>
    <n v="3"/>
    <n v="1386772"/>
    <n v="73273"/>
    <s v="Finance"/>
    <s v="Sanjana Pillai"/>
    <n v="60481.047619047618"/>
    <n v="2758979.1904761903"/>
  </r>
  <r>
    <x v="2"/>
    <s v="Neha Singh"/>
    <x v="3"/>
    <s v="HTX"/>
    <x v="2"/>
    <s v="Automatic"/>
    <n v="2"/>
    <n v="1472718"/>
    <n v="28279"/>
    <s v="Finance"/>
    <s v="Hardik Trivedi"/>
    <n v="61692.07317073171"/>
    <n v="2803357.9268292682"/>
  </r>
  <r>
    <x v="2"/>
    <s v="Ravi Patel"/>
    <x v="2"/>
    <s v="HTX"/>
    <x v="2"/>
    <s v="Automatic"/>
    <n v="2"/>
    <n v="6077808"/>
    <n v="77802"/>
    <s v="Lease"/>
    <s v="Kriti Mehta"/>
    <n v="61402.55"/>
    <n v="2838772.5750000002"/>
  </r>
  <r>
    <x v="2"/>
    <s v="Priya Menon"/>
    <x v="1"/>
    <s v="X-Line"/>
    <x v="2"/>
    <s v="Manual"/>
    <n v="3"/>
    <n v="872442"/>
    <n v="25817"/>
    <s v="Lease"/>
    <s v="Laksh Arora"/>
    <n v="62251.871794871797"/>
    <n v="2873799.6153846155"/>
  </r>
  <r>
    <x v="1"/>
    <s v="Priya Menon"/>
    <x v="2"/>
    <s v="GTX"/>
    <x v="0"/>
    <s v="Manual"/>
    <n v="1"/>
    <n v="5974393"/>
    <n v="88566"/>
    <s v="Finance"/>
    <s v="Simran Kaur"/>
    <n v="61842.65789473684"/>
    <n v="2789483.6052631577"/>
  </r>
  <r>
    <x v="4"/>
    <s v="Vikas Rao"/>
    <x v="2"/>
    <s v="X-Line"/>
    <x v="2"/>
    <s v="Automatic"/>
    <n v="3"/>
    <n v="6040113"/>
    <n v="105771"/>
    <s v="Lease"/>
    <s v="Rajesh Reddy"/>
    <n v="62816.324324324327"/>
    <n v="2841295.5405405406"/>
  </r>
  <r>
    <x v="3"/>
    <s v="Neha Singh"/>
    <x v="3"/>
    <s v="HTX"/>
    <x v="2"/>
    <s v="Manual"/>
    <n v="3"/>
    <n v="1510434"/>
    <n v="17907"/>
    <s v="Lease"/>
    <s v="Aakriti Bansal"/>
    <n v="62101.055555555555"/>
    <n v="2754265.0555555555"/>
  </r>
  <r>
    <x v="5"/>
    <s v="Vikas Rao"/>
    <x v="0"/>
    <s v="HTK"/>
    <x v="0"/>
    <s v="Automatic"/>
    <n v="3"/>
    <n v="1376929"/>
    <n v="28120"/>
    <s v="Cash"/>
    <s v="Deepesh Sharma"/>
    <n v="60853.342857142859"/>
    <n v="2660383.6857142858"/>
  </r>
  <r>
    <x v="3"/>
    <s v="Anjali Das"/>
    <x v="3"/>
    <s v="HTK"/>
    <x v="0"/>
    <s v="Manual"/>
    <n v="1"/>
    <n v="1497039"/>
    <n v="29809"/>
    <s v="Finance"/>
    <s v="Nisha Varma"/>
    <n v="62116.470588235294"/>
    <n v="2694205.7352941176"/>
  </r>
  <r>
    <x v="3"/>
    <s v="Amit Sharma"/>
    <x v="1"/>
    <s v="X-Line"/>
    <x v="1"/>
    <s v="Automatic"/>
    <n v="2"/>
    <n v="883103"/>
    <n v="51803"/>
    <s v="Finance"/>
    <s v="Prateek Sinha"/>
    <n v="63146.666666666664"/>
    <n v="2734123.2121212119"/>
  </r>
  <r>
    <x v="2"/>
    <s v="Amit Sharma"/>
    <x v="2"/>
    <s v="HTX"/>
    <x v="1"/>
    <s v="Automatic"/>
    <n v="2"/>
    <n v="5963468"/>
    <n v="83092"/>
    <s v="Finance"/>
    <s v="Muskan Kapoor"/>
    <n v="64188.46875"/>
    <n v="2772782.09375"/>
  </r>
  <r>
    <x v="2"/>
    <s v="Amit Sharma"/>
    <x v="1"/>
    <s v="HTK"/>
    <x v="1"/>
    <s v="Manual"/>
    <n v="2"/>
    <n v="997545"/>
    <n v="72201"/>
    <s v="Lease"/>
    <s v="Ajay Nair"/>
    <n v="64588"/>
    <n v="2833739.4838709678"/>
  </r>
  <r>
    <x v="0"/>
    <s v="Ravi Patel"/>
    <x v="0"/>
    <s v="X-Line"/>
    <x v="0"/>
    <s v="Automatic"/>
    <n v="2"/>
    <n v="1368099"/>
    <n v="69539"/>
    <s v="Finance"/>
    <s v="Tania Paul"/>
    <n v="63971.199999999997"/>
    <n v="2729415.2"/>
  </r>
  <r>
    <x v="5"/>
    <s v="Amit Sharma"/>
    <x v="1"/>
    <s v="HTK"/>
    <x v="1"/>
    <s v="Manual"/>
    <n v="3"/>
    <n v="905318"/>
    <n v="27343"/>
    <s v="Cash"/>
    <s v="Sahil Agarwal"/>
    <n v="63687.413793103449"/>
    <n v="2789134.8620689656"/>
  </r>
  <r>
    <x v="0"/>
    <s v="Priya Menon"/>
    <x v="0"/>
    <s v="HTE"/>
    <x v="2"/>
    <s v="Manual"/>
    <n v="3"/>
    <n v="1368096"/>
    <n v="55178"/>
    <s v="Cash"/>
    <s v="Diya Joshi"/>
    <n v="63478.428571428572"/>
    <n v="2839886.1428571427"/>
  </r>
  <r>
    <x v="1"/>
    <s v="Anjali Das"/>
    <x v="3"/>
    <s v="GTX"/>
    <x v="0"/>
    <s v="Manual"/>
    <n v="2"/>
    <n v="1511190"/>
    <n v="70549"/>
    <s v="Finance"/>
    <s v="Viren Patel"/>
    <n v="64816.777777777781"/>
    <n v="2911536.8148148148"/>
  </r>
  <r>
    <x v="3"/>
    <s v="Neha Singh"/>
    <x v="0"/>
    <s v="HTK"/>
    <x v="2"/>
    <s v="Automatic"/>
    <n v="1"/>
    <n v="1287286"/>
    <n v="14679"/>
    <s v="Finance"/>
    <s v="Esha Dey"/>
    <n v="65187.5"/>
    <n v="2970899.923076923"/>
  </r>
  <r>
    <x v="5"/>
    <s v="Vikas Rao"/>
    <x v="2"/>
    <s v="HTX"/>
    <x v="2"/>
    <s v="Automatic"/>
    <n v="3"/>
    <n v="6055515"/>
    <n v="85683"/>
    <s v="Cash"/>
    <s v="Jatin Malhotra"/>
    <n v="64973.04"/>
    <n v="3029288.32"/>
  </r>
  <r>
    <x v="4"/>
    <s v="Neha Singh"/>
    <x v="2"/>
    <s v="HTX"/>
    <x v="0"/>
    <s v="Manual"/>
    <n v="1"/>
    <n v="6015632"/>
    <n v="53390"/>
    <s v="Lease"/>
    <s v="Sonal Ghosh"/>
    <n v="67068.625"/>
    <n v="3101871.75"/>
  </r>
  <r>
    <x v="0"/>
    <s v="Ravi Patel"/>
    <x v="1"/>
    <s v="HTK"/>
    <x v="1"/>
    <s v="Automatic"/>
    <n v="2"/>
    <n v="986043"/>
    <n v="52697"/>
    <s v="Lease"/>
    <s v="Harsh Vora"/>
    <n v="66259.304347826081"/>
    <n v="2973452.4782608696"/>
  </r>
  <r>
    <x v="3"/>
    <s v="Anjali Das"/>
    <x v="1"/>
    <s v="GTX"/>
    <x v="1"/>
    <s v="Manual"/>
    <n v="2"/>
    <n v="957046"/>
    <n v="31843"/>
    <s v="Finance"/>
    <s v="Rachna Iyer"/>
    <n v="66844.272727272721"/>
    <n v="2835171.5909090908"/>
  </r>
  <r>
    <x v="5"/>
    <s v="Amit Sharma"/>
    <x v="2"/>
    <s v="HTX"/>
    <x v="2"/>
    <s v="Manual"/>
    <n v="3"/>
    <n v="6054976"/>
    <n v="149680"/>
    <s v="Finance"/>
    <s v="Sidharth Rao"/>
    <n v="67517.952380952382"/>
    <n v="2923225.3333333335"/>
  </r>
  <r>
    <x v="0"/>
    <s v="Anjali Das"/>
    <x v="3"/>
    <s v="HTE"/>
    <x v="0"/>
    <s v="Automatic"/>
    <n v="1"/>
    <n v="1584898"/>
    <n v="64062"/>
    <s v="Finance"/>
    <s v="Rupal Singh"/>
    <n v="69301.7"/>
    <n v="3021534.3"/>
  </r>
  <r>
    <x v="3"/>
    <s v="Amit Sharma"/>
    <x v="0"/>
    <s v="X-Line"/>
    <x v="1"/>
    <s v="Automatic"/>
    <n v="2"/>
    <n v="1380676"/>
    <n v="50986"/>
    <s v="Lease"/>
    <s v="Nishant Mehta"/>
    <n v="65071.26315789474"/>
    <n v="2861879.4736842103"/>
  </r>
  <r>
    <x v="5"/>
    <s v="Anjali Das"/>
    <x v="3"/>
    <s v="GTX"/>
    <x v="0"/>
    <s v="Manual"/>
    <n v="1"/>
    <n v="1577064"/>
    <n v="17957"/>
    <s v="Lease"/>
    <s v="Ishita Reddy"/>
    <n v="65127.333333333336"/>
    <n v="2932822.888888889"/>
  </r>
  <r>
    <x v="1"/>
    <s v="Neha Singh"/>
    <x v="3"/>
    <s v="X-Line"/>
    <x v="1"/>
    <s v="Automatic"/>
    <n v="1"/>
    <n v="1594769"/>
    <n v="36738"/>
    <s v="Cash"/>
    <s v="Rakesh Sharma"/>
    <n v="65959.176470588238"/>
    <n v="3024125.6470588236"/>
  </r>
  <r>
    <x v="4"/>
    <s v="Priya Menon"/>
    <x v="2"/>
    <s v="HTX"/>
    <x v="1"/>
    <s v="Automatic"/>
    <n v="2"/>
    <n v="6021676"/>
    <n v="104459"/>
    <s v="Lease"/>
    <s v="Komal Bhatt"/>
    <n v="68959.3125"/>
    <n v="3114567"/>
  </r>
  <r>
    <x v="4"/>
    <s v="Amit Sharma"/>
    <x v="2"/>
    <s v="HTK"/>
    <x v="2"/>
    <s v="Automatic"/>
    <n v="1"/>
    <n v="6083232"/>
    <n v="147818"/>
    <s v="Finance"/>
    <s v="Tejas Khanna"/>
    <n v="71107.399999999994"/>
    <n v="3215886.8666666667"/>
  </r>
  <r>
    <x v="5"/>
    <s v="Vikas Rao"/>
    <x v="1"/>
    <s v="HTX"/>
    <x v="0"/>
    <s v="Automatic"/>
    <n v="3"/>
    <n v="928264"/>
    <n v="64884"/>
    <s v="Cash"/>
    <s v="Anushka Menon"/>
    <n v="68725.142857142855"/>
    <n v="3015473.3571428573"/>
  </r>
  <r>
    <x v="3"/>
    <s v="Priya Menon"/>
    <x v="2"/>
    <s v="HTX"/>
    <x v="2"/>
    <s v="Automatic"/>
    <n v="3"/>
    <n v="6094681"/>
    <n v="149991"/>
    <s v="Cash"/>
    <s v="Arnav Jain"/>
    <n v="62641.076923076922"/>
    <n v="2779491.923076923"/>
  </r>
  <r>
    <x v="0"/>
    <s v="Priya Menon"/>
    <x v="2"/>
    <s v="HTK"/>
    <x v="0"/>
    <s v="Automatic"/>
    <n v="3"/>
    <n v="5961441"/>
    <n v="91704"/>
    <s v="Finance"/>
    <s v="Sneha Basu"/>
    <n v="62454.166666666664"/>
    <n v="2933760.9166666665"/>
  </r>
  <r>
    <x v="2"/>
    <s v="Amit Sharma"/>
    <x v="2"/>
    <s v="HTE"/>
    <x v="2"/>
    <s v="Manual"/>
    <n v="2"/>
    <n v="6081672"/>
    <n v="127356"/>
    <s v="Lease"/>
    <s v="Dev Mishra"/>
    <n v="54496.272727272728"/>
    <n v="2646404.5454545454"/>
  </r>
  <r>
    <x v="0"/>
    <s v="Ravi Patel"/>
    <x v="1"/>
    <s v="HTK"/>
    <x v="2"/>
    <s v="Automatic"/>
    <n v="2"/>
    <n v="890464"/>
    <n v="14903"/>
    <s v="Lease"/>
    <s v="Anjali Nair"/>
    <n v="50775.5"/>
    <n v="2314900.9"/>
  </r>
  <r>
    <x v="0"/>
    <s v="Priya Menon"/>
    <x v="3"/>
    <s v="X-Line"/>
    <x v="0"/>
    <s v="Manual"/>
    <n v="3"/>
    <n v="1533010"/>
    <n v="51077"/>
    <s v="Lease"/>
    <s v="Puneet Sethi"/>
    <n v="42266.555555555555"/>
    <n v="1896370.7777777778"/>
  </r>
  <r>
    <x v="2"/>
    <s v="Anjali Das"/>
    <x v="0"/>
    <s v="HTX"/>
    <x v="0"/>
    <s v="Manual"/>
    <n v="1"/>
    <n v="1273692"/>
    <n v="38440"/>
    <s v="Finance"/>
    <s v="Manya Kapoor"/>
    <n v="45687"/>
    <n v="2022109.125"/>
  </r>
  <r>
    <x v="1"/>
    <s v="Ravi Patel"/>
    <x v="3"/>
    <s v="HTE"/>
    <x v="2"/>
    <s v="Automatic"/>
    <n v="1"/>
    <n v="1535032"/>
    <n v="62176"/>
    <s v="Finance"/>
    <s v="Harshit Agarwal"/>
    <n v="44917"/>
    <n v="2091980.4285714286"/>
  </r>
  <r>
    <x v="0"/>
    <s v="Neha Singh"/>
    <x v="0"/>
    <s v="X-Line"/>
    <x v="1"/>
    <s v="Manual"/>
    <n v="1"/>
    <n v="1398354"/>
    <n v="54682"/>
    <s v="Lease"/>
    <s v="Shalini Dubey"/>
    <n v="45996.5"/>
    <n v="2228361.8333333335"/>
  </r>
  <r>
    <x v="4"/>
    <s v="Anjali Das"/>
    <x v="0"/>
    <s v="GTX"/>
    <x v="2"/>
    <s v="Automatic"/>
    <n v="2"/>
    <n v="1287517"/>
    <n v="25216"/>
    <s v="Finance"/>
    <s v="Keshav Tiwari"/>
    <n v="42760.6"/>
    <n v="2367027.7999999998"/>
  </r>
  <r>
    <x v="5"/>
    <s v="Priya Menon"/>
    <x v="2"/>
    <s v="HTX"/>
    <x v="2"/>
    <s v="Automatic"/>
    <n v="1"/>
    <n v="6093287"/>
    <n v="70706"/>
    <s v="Lease"/>
    <s v="Radhika Arora"/>
    <n v="39780.25"/>
    <n v="2609196.25"/>
  </r>
  <r>
    <x v="3"/>
    <s v="Amit Sharma"/>
    <x v="3"/>
    <s v="GTX"/>
    <x v="1"/>
    <s v="Automatic"/>
    <n v="2"/>
    <n v="1502223"/>
    <n v="35211"/>
    <s v="Lease"/>
    <s v="Nitin Chatterjee"/>
    <n v="44635"/>
    <n v="3049756"/>
  </r>
  <r>
    <x v="1"/>
    <s v="Vikas Rao"/>
    <x v="3"/>
    <s v="HTX"/>
    <x v="0"/>
    <s v="Manual"/>
    <n v="1"/>
    <n v="1553758"/>
    <n v="27988"/>
    <s v="Lease"/>
    <s v="Aanya Verma"/>
    <n v="31599.5"/>
    <n v="1527990.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1">
  <r>
    <s v="2024-10-16"/>
    <s v="Elite Kia Pvt Ltd"/>
    <s v="Hyderabad"/>
    <s v="Vikas Rao"/>
    <s v="Seltos"/>
    <s v="GTX"/>
    <s v="Diesel"/>
    <s v="Manual"/>
    <n v="3"/>
    <n v="1293287"/>
    <n v="27370"/>
    <s v="Lease"/>
    <s v="Divya Singh"/>
  </r>
  <r>
    <s v="2024-11-22"/>
    <s v="Royal Kia Pvt Ltd"/>
    <s v="Chennai"/>
    <s v="Priya Menon"/>
    <s v="Carens"/>
    <s v="GTX"/>
    <s v="Petrol"/>
    <s v="Manual"/>
    <n v="3"/>
    <n v="1547889"/>
    <n v="38711"/>
    <s v="Cash"/>
    <s v="Arjun Malhotra"/>
  </r>
  <r>
    <s v="2024-11-26"/>
    <s v="Elite Kia Pvt Ltd"/>
    <s v="Hyderabad"/>
    <s v="Neha Singh"/>
    <s v="Carens"/>
    <s v="HTE"/>
    <s v="Petrol"/>
    <s v="Manual"/>
    <n v="3"/>
    <n v="1595207"/>
    <n v="25080"/>
    <s v="Lease"/>
    <s v="Tanya Gupta"/>
  </r>
  <r>
    <s v="2024-11-13"/>
    <s v="Admire Wheels  Pvt Ltd"/>
    <s v="Delhi"/>
    <s v="Neha Singh"/>
    <s v="Seltos"/>
    <s v="HTE"/>
    <s v="Diesel"/>
    <s v="Automatic"/>
    <n v="3"/>
    <n v="1336619"/>
    <n v="14643"/>
    <s v="Cash"/>
    <s v="Rohit Deshmukh"/>
  </r>
  <r>
    <s v="2024-10-15"/>
    <s v="Speed Auto Kia Pvt Ltd"/>
    <s v="Bangalore"/>
    <s v="Amit Sharma"/>
    <s v="EV6"/>
    <s v="HTK"/>
    <s v="Electric"/>
    <s v="Automatic"/>
    <n v="1"/>
    <n v="6056708"/>
    <n v="74957"/>
    <s v="Finance"/>
    <s v="Pooja Menon"/>
  </r>
  <r>
    <s v="2024-11-16"/>
    <s v="Royal Kia Pvt Ltd"/>
    <s v="Chennai"/>
    <s v="Anjali Das"/>
    <s v="EV6"/>
    <s v="GTX"/>
    <s v="Petrol"/>
    <s v="Manual"/>
    <n v="3"/>
    <n v="5964200"/>
    <n v="138259"/>
    <s v="Finance"/>
    <s v="Sameer Khan"/>
  </r>
  <r>
    <s v="2024-11-06"/>
    <s v="Kia Motors Pvt Ltd"/>
    <s v="Mumbai"/>
    <s v="Neha Singh"/>
    <s v="Sonet"/>
    <s v="HTK"/>
    <s v="Diesel"/>
    <s v="Manual"/>
    <n v="2"/>
    <n v="899862"/>
    <n v="45146"/>
    <s v="Finance"/>
    <s v="Kritika Joshi"/>
  </r>
  <r>
    <s v="2024-10-12"/>
    <s v="Speed Auto Kia Pvt Ltd"/>
    <s v="Bangalore"/>
    <s v="Anjali Das"/>
    <s v="Seltos"/>
    <s v="HTE"/>
    <s v="Electric"/>
    <s v="Manual"/>
    <n v="1"/>
    <n v="1394264"/>
    <n v="16416"/>
    <s v="Cash"/>
    <s v="Harshad Shetty"/>
  </r>
  <r>
    <s v="2024-10-11"/>
    <s v="Speed Auto Kia Pvt Ltd"/>
    <s v="Bangalore"/>
    <s v="Amit Sharma"/>
    <s v="Seltos"/>
    <s v="GTX"/>
    <s v="Petrol"/>
    <s v="Automatic"/>
    <n v="2"/>
    <n v="1376185"/>
    <n v="24008"/>
    <s v="Cash"/>
    <s v="Sakshi Aggarwal"/>
  </r>
  <r>
    <s v="2024-10-15"/>
    <s v="Star Kia Pvt Ltd"/>
    <s v="Pune"/>
    <s v="Vikas Rao"/>
    <s v="Carens"/>
    <s v="GTX"/>
    <s v="Electric"/>
    <s v="Automatic"/>
    <n v="3"/>
    <n v="1560888"/>
    <n v="55651"/>
    <s v="Cash"/>
    <s v="Deepak Yadav"/>
  </r>
  <r>
    <s v="2024-10-23"/>
    <s v="Admire Wheels  Pvt Ltd"/>
    <s v="Delhi"/>
    <s v="Ravi Patel"/>
    <s v="Carens"/>
    <s v="HTK"/>
    <s v="Petrol"/>
    <s v="Manual"/>
    <n v="3"/>
    <n v="1592133"/>
    <n v="13994"/>
    <s v="Lease"/>
    <s v="Ananya Pillai"/>
  </r>
  <r>
    <s v="2024-10-24"/>
    <s v="Elite Kia Pvt Ltd"/>
    <s v="Hyderabad"/>
    <s v="Amit Sharma"/>
    <s v="Seltos"/>
    <s v="HTE"/>
    <s v="Electric"/>
    <s v="Manual"/>
    <n v="1"/>
    <n v="1271000"/>
    <n v="65793"/>
    <s v="Lease"/>
    <s v="Saurabh Jain"/>
  </r>
  <r>
    <s v="2024-11-11"/>
    <s v="Elite Kia Pvt Ltd"/>
    <s v="Hyderabad"/>
    <s v="Amit Sharma"/>
    <s v="EV6"/>
    <s v="HTE"/>
    <s v="Electric"/>
    <s v="Manual"/>
    <n v="3"/>
    <n v="6014543"/>
    <n v="125880"/>
    <s v="Finance"/>
    <s v="Ritu Chauhan"/>
  </r>
  <r>
    <s v="2024-11-17"/>
    <s v="Royal Kia Pvt Ltd"/>
    <s v="Chennai"/>
    <s v="Priya Menon"/>
    <s v="Carens"/>
    <s v="HTK"/>
    <s v="Petrol"/>
    <s v="Automatic"/>
    <n v="2"/>
    <n v="1532361"/>
    <n v="25642"/>
    <s v="Finance"/>
    <s v="Manish Dubey"/>
  </r>
  <r>
    <s v="2024-10-11"/>
    <s v="Speed Auto Kia Pvt Ltd"/>
    <s v="Bangalore"/>
    <s v="Vikas Rao"/>
    <s v="Sonet"/>
    <s v="HTE"/>
    <s v="Petrol"/>
    <s v="Automatic"/>
    <n v="1"/>
    <n v="997585"/>
    <n v="16552"/>
    <s v="Cash"/>
    <s v="Isha Kapoor"/>
  </r>
  <r>
    <s v="2024-11-14"/>
    <s v="Star Kia Pvt Ltd"/>
    <s v="Pune"/>
    <s v="Vikas Rao"/>
    <s v="Sonet"/>
    <s v="HTK"/>
    <s v="Electric"/>
    <s v="Automatic"/>
    <n v="2"/>
    <n v="924707"/>
    <n v="20338"/>
    <s v="Lease"/>
    <s v="Gaurav Singh"/>
  </r>
  <r>
    <s v="2024-10-22"/>
    <s v="Kia Motors  Pvt Ltd"/>
    <s v="Mumbai"/>
    <s v="Anjali Das"/>
    <s v="Carens"/>
    <s v="HTE"/>
    <s v="Electric"/>
    <s v="Manual"/>
    <n v="1"/>
    <n v="1519328"/>
    <n v="17564"/>
    <s v="Finance"/>
    <s v="Nidhi Soni"/>
  </r>
  <r>
    <s v="2024-11-24"/>
    <s v="Kia Motors Pvt Ltd"/>
    <s v="Mumbai"/>
    <s v="Ravi Patel"/>
    <s v="Seltos"/>
    <s v="HTX"/>
    <s v="Petrol"/>
    <s v="Manual"/>
    <n v="2"/>
    <n v="1319201"/>
    <n v="43122"/>
    <s v="Lease"/>
    <s v="Abhishek Tiwari"/>
  </r>
  <r>
    <s v="2024-11-20"/>
    <s v="Admire Wheels  Pvt Ltd"/>
    <s v="Delhi"/>
    <s v="Anjali Das"/>
    <s v="Carens"/>
    <s v="HTE"/>
    <s v="Diesel"/>
    <s v="Manual"/>
    <n v="1"/>
    <n v="1537439"/>
    <n v="60536"/>
    <s v="Lease"/>
    <s v="Shreya Das"/>
  </r>
  <r>
    <s v="2024-11-23"/>
    <s v="Admire Wheels  Pvt Ltd"/>
    <s v="Delhi"/>
    <s v="Neha Singh"/>
    <s v="EV6"/>
    <s v="X-Line"/>
    <s v="Electric"/>
    <s v="Manual"/>
    <n v="3"/>
    <n v="5979327"/>
    <n v="59862"/>
    <s v="Finance"/>
    <s v="Kunal Chatterjee"/>
  </r>
  <r>
    <s v="2024-11-13"/>
    <s v="Admire Wheels  Pvt Ltd"/>
    <s v="Delhi"/>
    <s v="Ravi Patel"/>
    <s v="EV6"/>
    <s v="HTK"/>
    <s v="Petrol"/>
    <s v="Manual"/>
    <n v="1"/>
    <n v="6030808"/>
    <n v="97795"/>
    <s v="Lease"/>
    <s v="Aditi Mishra"/>
  </r>
  <r>
    <s v="2024-11-05"/>
    <s v="Speed Auto Kia Pvt Ltd"/>
    <s v="Bangalore"/>
    <s v="Neha Singh"/>
    <s v="Carens"/>
    <s v="X-Line"/>
    <s v="Petrol"/>
    <s v="Automatic"/>
    <n v="1"/>
    <n v="1490515"/>
    <n v="70670"/>
    <s v="Cash"/>
    <s v="Mohit Chhabra"/>
  </r>
  <r>
    <s v="2024-10-24"/>
    <s v="Royal Kia  Pvt Ltd"/>
    <s v="Chennai"/>
    <s v="Anjali Das"/>
    <s v="Carens"/>
    <s v="GTX"/>
    <s v="Petrol"/>
    <s v="Automatic"/>
    <n v="1"/>
    <n v="1515055"/>
    <n v="27485"/>
    <s v="Cash"/>
    <s v="Rachita Paul"/>
  </r>
  <r>
    <s v="2024-11-07"/>
    <s v="Speed Auto Kia Pvt Ltd"/>
    <s v="Bangalore"/>
    <s v="Neha Singh"/>
    <s v="Seltos"/>
    <s v="HTK"/>
    <s v="Petrol"/>
    <s v="Manual"/>
    <n v="1"/>
    <n v="1341660"/>
    <n v="30000"/>
    <s v="Finance"/>
    <s v="Yash Ghosh"/>
  </r>
  <r>
    <s v="2024-11-16"/>
    <s v="Star Kia  Pvt Ltd"/>
    <s v="Pune"/>
    <s v="Priya Menon"/>
    <s v="Carens"/>
    <s v="HTE"/>
    <s v="Electric"/>
    <s v="Automatic"/>
    <n v="3"/>
    <n v="1542050"/>
    <n v="52040"/>
    <s v="Cash"/>
    <s v="Kavita Arora"/>
  </r>
  <r>
    <s v="2024-10-27"/>
    <s v="Elite Kia  Pvt Ltd"/>
    <s v="Hyderabad"/>
    <s v="Vikas Rao"/>
    <s v="Carens"/>
    <s v="HTK"/>
    <s v="Diesel"/>
    <s v="Automatic"/>
    <n v="1"/>
    <n v="1519590"/>
    <n v="12507"/>
    <s v="Lease"/>
    <s v="Rajeev Sharma"/>
  </r>
  <r>
    <s v="2024-11-30"/>
    <s v="Elite Kia Pvt Ltd"/>
    <s v="Hyderabad"/>
    <s v="Neha Singh"/>
    <s v="EV6"/>
    <s v="X-Line"/>
    <s v="Diesel"/>
    <s v="Manual"/>
    <n v="3"/>
    <n v="5980315"/>
    <n v="100488"/>
    <s v="Lease"/>
    <s v="Rupal Dey"/>
  </r>
  <r>
    <s v="2024-10-10"/>
    <s v="Elite Kia Pvt Ltd"/>
    <s v="Hyderabad"/>
    <s v="Amit Sharma"/>
    <s v="Sonet"/>
    <s v="X-Line"/>
    <s v="Electric"/>
    <s v="Automatic"/>
    <n v="2"/>
    <n v="901651"/>
    <n v="33869"/>
    <s v="Lease"/>
    <s v="Chetan Mehra"/>
  </r>
  <r>
    <s v="2024-11-27"/>
    <s v="Elite Kia Pvt Ltd"/>
    <s v="Hyderabad"/>
    <s v="Ravi Patel"/>
    <s v="Sonet"/>
    <s v="HTX"/>
    <s v="Diesel"/>
    <s v="Automatic"/>
    <n v="2"/>
    <n v="931077"/>
    <n v="53705"/>
    <s v="Lease"/>
    <s v="Preeti Ramaswamy"/>
  </r>
  <r>
    <s v="2024-11-30"/>
    <s v="Royal Kia Pvt Ltd"/>
    <s v="Chennai"/>
    <s v="Neha Singh"/>
    <s v="Seltos"/>
    <s v="GTX"/>
    <s v="Electric"/>
    <s v="Automatic"/>
    <n v="3"/>
    <n v="1349390"/>
    <n v="54388"/>
    <s v="Finance"/>
    <s v="Ashish Rao"/>
  </r>
  <r>
    <s v="2024-10-20"/>
    <s v="Kia Motors Pvt Ltd"/>
    <s v="Mumbai"/>
    <s v="Vikas Rao"/>
    <s v="Carens"/>
    <s v="HTX"/>
    <s v="Electric"/>
    <s v="Automatic"/>
    <n v="3"/>
    <n v="1562692"/>
    <n v="61495"/>
    <s v="Finance"/>
    <s v="Payal Mukherjee"/>
  </r>
  <r>
    <s v="2024-11-23"/>
    <s v="Elite Kia Pvt Ltd"/>
    <s v="Hyderabad"/>
    <s v="Anjali Das"/>
    <s v="EV6"/>
    <s v="HTK"/>
    <s v="Petrol"/>
    <s v="Automatic"/>
    <n v="1"/>
    <n v="6074042"/>
    <n v="146463"/>
    <s v="Lease"/>
    <s v="Devansh Chauhan"/>
  </r>
  <r>
    <s v="2024-11-06"/>
    <s v="Royal Kia Pvt Ltd"/>
    <s v="Chennai"/>
    <s v="Neha Singh"/>
    <s v="Sonet"/>
    <s v="HTK"/>
    <s v="Petrol"/>
    <s v="Manual"/>
    <n v="1"/>
    <n v="931374"/>
    <n v="24722"/>
    <s v="Cash"/>
    <s v="Bhavna Sethi"/>
  </r>
  <r>
    <s v="2024-10-31"/>
    <s v="Speed Auto Kia Pvt Ltd"/>
    <s v="Bangalore"/>
    <s v="Priya Menon"/>
    <s v="Sonet"/>
    <s v="GTX"/>
    <s v="Diesel"/>
    <s v="Automatic"/>
    <n v="3"/>
    <n v="900970"/>
    <n v="57077"/>
    <s v="Cash"/>
    <s v="Varun Iyer"/>
  </r>
  <r>
    <s v="2024-10-27"/>
    <s v="Speed Auto Kia Pvt Ltd"/>
    <s v="Bangalore"/>
    <s v="Vikas Rao"/>
    <s v="Sonet"/>
    <s v="HTE"/>
    <s v="Diesel"/>
    <s v="Manual"/>
    <n v="3"/>
    <n v="907367"/>
    <n v="21526"/>
    <s v="Lease"/>
    <s v="Snehal Patil"/>
  </r>
  <r>
    <s v="2024-10-19"/>
    <s v="Kia Motors  Pvt Ltd"/>
    <s v="Mumbai"/>
    <s v="Vikas Rao"/>
    <s v="Sonet"/>
    <s v="GTX"/>
    <s v="Electric"/>
    <s v="Automatic"/>
    <n v="3"/>
    <n v="971803"/>
    <n v="53750"/>
    <s v="Finance"/>
    <s v="Rajat Kapoor"/>
  </r>
  <r>
    <s v="2024-10-23"/>
    <s v="Royal Kia Pvt Ltd"/>
    <s v="Chennai"/>
    <s v="Neha Singh"/>
    <s v="EV6"/>
    <s v="HTK"/>
    <s v="Electric"/>
    <s v="Automatic"/>
    <n v="2"/>
    <n v="6074433"/>
    <n v="108991"/>
    <s v="Lease"/>
    <s v="Megha Nair"/>
  </r>
  <r>
    <s v="2024-11-27"/>
    <s v="Speed Auto Kia Pvt Ltd"/>
    <s v="Bangalore"/>
    <s v="Neha Singh"/>
    <s v="Seltos"/>
    <s v="HTX"/>
    <s v="Diesel"/>
    <s v="Automatic"/>
    <n v="2"/>
    <n v="1270311"/>
    <n v="56762"/>
    <s v="Finance"/>
    <s v="Nikhil Bhatia"/>
  </r>
  <r>
    <s v="2024-10-31"/>
    <s v="Kia Motors  Pvt Ltd"/>
    <s v="Mumbai"/>
    <s v="Anjali Das"/>
    <s v="Seltos"/>
    <s v="HTK"/>
    <s v="Petrol"/>
    <s v="Manual"/>
    <n v="1"/>
    <n v="1350410"/>
    <n v="55478"/>
    <s v="Finance"/>
    <s v="Riya D’Souza"/>
  </r>
  <r>
    <s v="2024-10-16"/>
    <s v="Speed Auto Kia Pvt Ltd"/>
    <s v="Bangalore"/>
    <s v="Priya Menon"/>
    <s v="Carens"/>
    <s v="X-Line"/>
    <s v="Diesel"/>
    <s v="Manual"/>
    <n v="1"/>
    <n v="1558992"/>
    <n v="14080"/>
    <s v="Lease"/>
    <s v="Aman Khanna"/>
  </r>
  <r>
    <s v="2024-10-15"/>
    <s v="Star Kia Pvt Ltd"/>
    <s v="Pune"/>
    <s v="Priya Menon"/>
    <s v="EV6"/>
    <s v="HTE"/>
    <s v="Electric"/>
    <s v="Manual"/>
    <n v="2"/>
    <n v="6028279"/>
    <n v="148759"/>
    <s v="Finance"/>
    <s v="Charvi Gaur"/>
  </r>
  <r>
    <s v="2024-11-03"/>
    <s v="Speed Auto Kia Pvt Ltd"/>
    <s v="Bangalore"/>
    <s v="Anjali Das"/>
    <s v="Carens"/>
    <s v="GTX"/>
    <s v="Electric"/>
    <s v="Automatic"/>
    <n v="2"/>
    <n v="1457608"/>
    <n v="35484"/>
    <s v="Lease"/>
    <s v="Sandeep Menon"/>
  </r>
  <r>
    <s v="2024-10-16"/>
    <s v="Elite Kia  Pvt Ltd"/>
    <s v="Hyderabad"/>
    <s v="Vikas Rao"/>
    <s v="EV6"/>
    <s v="HTK"/>
    <s v="Electric"/>
    <s v="Manual"/>
    <n v="2"/>
    <n v="6090017"/>
    <n v="53534"/>
    <s v="Cash"/>
    <s v="Shruti Joshi"/>
  </r>
  <r>
    <s v="2024-11-01"/>
    <s v="Kia Motors Pvt Ltd"/>
    <s v="Mumbai"/>
    <s v="Ravi Patel"/>
    <s v="Seltos"/>
    <s v="GTX"/>
    <s v="Petrol"/>
    <s v="Automatic"/>
    <n v="2"/>
    <n v="1263181"/>
    <n v="27049"/>
    <s v="Finance"/>
    <s v="Chirag Shah"/>
  </r>
  <r>
    <s v="2024-11-01"/>
    <s v="Speed Auto Kia Pvt Ltd"/>
    <s v="Bangalore"/>
    <s v="Amit Sharma"/>
    <s v="EV6"/>
    <s v="HTX"/>
    <s v="Electric"/>
    <s v="Manual"/>
    <n v="2"/>
    <n v="6016131"/>
    <n v="60735"/>
    <s v="Finance"/>
    <s v="Tanvi Reddy"/>
  </r>
  <r>
    <s v="2024-11-17"/>
    <s v="Admire Wheels  Pvt Ltd"/>
    <s v="Delhi"/>
    <s v="Vikas Rao"/>
    <s v="Sonet"/>
    <s v="HTE"/>
    <s v="Petrol"/>
    <s v="Manual"/>
    <n v="1"/>
    <n v="914823"/>
    <n v="23065"/>
    <s v="Cash"/>
    <s v="Vipul Jain"/>
  </r>
  <r>
    <s v="2024-10-26"/>
    <s v="Kia Motors  Pvt Ltd"/>
    <s v="Mumbai"/>
    <s v="Ravi Patel"/>
    <s v="Sonet"/>
    <s v="X-Line"/>
    <s v="Petrol"/>
    <s v="Manual"/>
    <n v="2"/>
    <n v="971905"/>
    <n v="55840"/>
    <s v="Cash"/>
    <s v="Garima Bhatnagar"/>
  </r>
  <r>
    <s v="2024-11-30"/>
    <s v="Admire Wheels  Pvt Ltd"/>
    <s v="Delhi"/>
    <s v="Priya Menon"/>
    <s v="Sonet"/>
    <s v="X-Line"/>
    <s v="Diesel"/>
    <s v="Manual"/>
    <n v="3"/>
    <n v="931777"/>
    <n v="47735"/>
    <s v="Cash"/>
    <s v="Parth Desai"/>
  </r>
  <r>
    <s v="2024-10-12"/>
    <s v="Royal Kia  Pvt Ltd"/>
    <s v="Chennai"/>
    <s v="Amit Sharma"/>
    <s v="Sonet"/>
    <s v="HTX"/>
    <s v="Diesel"/>
    <s v="Automatic"/>
    <n v="3"/>
    <n v="881733"/>
    <n v="62181"/>
    <s v="Lease"/>
    <s v="Mitali Basu"/>
  </r>
  <r>
    <s v="2024-11-25"/>
    <s v="Royal Kia Pvt Ltd"/>
    <s v="Chennai"/>
    <s v="Priya Menon"/>
    <s v="Sonet"/>
    <s v="X-Line"/>
    <s v="Petrol"/>
    <s v="Automatic"/>
    <n v="2"/>
    <n v="939451"/>
    <n v="10829"/>
    <s v="Finance"/>
    <s v="Anuj Kumar"/>
  </r>
  <r>
    <s v="2024-11-08"/>
    <s v="Kia Motors  Pvt Ltd"/>
    <s v="Mumbai"/>
    <s v="Ravi Patel"/>
    <s v="Seltos"/>
    <s v="GTX"/>
    <s v="Electric"/>
    <s v="Automatic"/>
    <n v="3"/>
    <n v="1386772"/>
    <n v="73273"/>
    <s v="Finance"/>
    <s v="Sanjana Pillai"/>
  </r>
  <r>
    <s v="2024-11-13"/>
    <s v="Kia Motors Pvt Ltd"/>
    <s v="Mumbai"/>
    <s v="Neha Singh"/>
    <s v="Carens"/>
    <s v="HTX"/>
    <s v="Diesel"/>
    <s v="Automatic"/>
    <n v="2"/>
    <n v="1472718"/>
    <n v="28279"/>
    <s v="Finance"/>
    <s v="Hardik Trivedi"/>
  </r>
  <r>
    <s v="2024-10-17"/>
    <s v="Kia Motors Pvt Ltd"/>
    <s v="Mumbai"/>
    <s v="Ravi Patel"/>
    <s v="EV6"/>
    <s v="HTX"/>
    <s v="Diesel"/>
    <s v="Automatic"/>
    <n v="2"/>
    <n v="6077808"/>
    <n v="77802"/>
    <s v="Lease"/>
    <s v="Kriti Mehta"/>
  </r>
  <r>
    <s v="2024-11-03"/>
    <s v="Kia Motors Pvt Ltd"/>
    <s v="Mumbai"/>
    <s v="Priya Menon"/>
    <s v="Sonet"/>
    <s v="X-Line"/>
    <s v="Diesel"/>
    <s v="Manual"/>
    <n v="3"/>
    <n v="872442"/>
    <n v="25817"/>
    <s v="Lease"/>
    <s v="Laksh Arora"/>
  </r>
  <r>
    <s v="2024-10-15"/>
    <s v="Admire Wheels  Pvt Ltd"/>
    <s v="Delhi"/>
    <s v="Priya Menon"/>
    <s v="EV6"/>
    <s v="GTX"/>
    <s v="Electric"/>
    <s v="Manual"/>
    <n v="1"/>
    <n v="5974393"/>
    <n v="88566"/>
    <s v="Finance"/>
    <s v="Simran Kaur"/>
  </r>
  <r>
    <s v="2024-11-14"/>
    <s v="Elite Kia  Pvt Ltd"/>
    <s v="Hyderabad"/>
    <s v="Vikas Rao"/>
    <s v="EV6"/>
    <s v="X-Line"/>
    <s v="Diesel"/>
    <s v="Automatic"/>
    <n v="3"/>
    <n v="6040113"/>
    <n v="105771"/>
    <s v="Lease"/>
    <s v="Rajesh Reddy"/>
  </r>
  <r>
    <s v="2024-10-28"/>
    <s v="Star Kia  Pvt Ltd"/>
    <s v="Pune"/>
    <s v="Neha Singh"/>
    <s v="Carens"/>
    <s v="HTX"/>
    <s v="Diesel"/>
    <s v="Manual"/>
    <n v="3"/>
    <n v="1510434"/>
    <n v="17907"/>
    <s v="Lease"/>
    <s v="Aakriti Bansal"/>
  </r>
  <r>
    <s v="2024-11-19"/>
    <s v="Royal Kia  Pvt Ltd"/>
    <s v="Chennai"/>
    <s v="Vikas Rao"/>
    <s v="Seltos"/>
    <s v="HTK"/>
    <s v="Electric"/>
    <s v="Automatic"/>
    <n v="3"/>
    <n v="1376929"/>
    <n v="28120"/>
    <s v="Cash"/>
    <s v="Deepesh Sharma"/>
  </r>
  <r>
    <s v="2024-11-18"/>
    <s v="Star Kia  Pvt Ltd"/>
    <s v="Pune"/>
    <s v="Anjali Das"/>
    <s v="Carens"/>
    <s v="HTK"/>
    <s v="Electric"/>
    <s v="Manual"/>
    <n v="1"/>
    <n v="1497039"/>
    <n v="29809"/>
    <s v="Finance"/>
    <s v="Nisha Varma"/>
  </r>
  <r>
    <s v="2024-11-02"/>
    <s v="Star Kia  Pvt Ltd"/>
    <s v="Pune"/>
    <s v="Amit Sharma"/>
    <s v="Sonet"/>
    <s v="X-Line"/>
    <s v="Petrol"/>
    <s v="Automatic"/>
    <n v="2"/>
    <n v="883103"/>
    <n v="51803"/>
    <s v="Finance"/>
    <s v="Prateek Sinha"/>
  </r>
  <r>
    <s v="2024-11-15"/>
    <s v="Kia Motors  Pvt Ltd"/>
    <s v="Mumbai"/>
    <s v="Amit Sharma"/>
    <s v="EV6"/>
    <s v="HTX"/>
    <s v="Petrol"/>
    <s v="Automatic"/>
    <n v="2"/>
    <n v="5963468"/>
    <n v="83092"/>
    <s v="Finance"/>
    <s v="Muskan Kapoor"/>
  </r>
  <r>
    <s v="2024-10-22"/>
    <s v="Kia Motors Pvt Ltd"/>
    <s v="Mumbai"/>
    <s v="Amit Sharma"/>
    <s v="Sonet"/>
    <s v="HTK"/>
    <s v="Petrol"/>
    <s v="Manual"/>
    <n v="2"/>
    <n v="997545"/>
    <n v="72201"/>
    <s v="Lease"/>
    <s v="Ajay Nair"/>
  </r>
  <r>
    <s v="2024-11-24"/>
    <s v="Speed Auto Kia Pvt Ltd"/>
    <s v="Bangalore"/>
    <s v="Ravi Patel"/>
    <s v="Seltos"/>
    <s v="X-Line"/>
    <s v="Electric"/>
    <s v="Automatic"/>
    <n v="2"/>
    <n v="1368099"/>
    <n v="69539"/>
    <s v="Finance"/>
    <s v="Tania Paul"/>
  </r>
  <r>
    <s v="2024-10-14"/>
    <s v="Royal Kia  Pvt Ltd"/>
    <s v="Chennai"/>
    <s v="Amit Sharma"/>
    <s v="Sonet"/>
    <s v="HTK"/>
    <s v="Petrol"/>
    <s v="Manual"/>
    <n v="3"/>
    <n v="905318"/>
    <n v="27343"/>
    <s v="Cash"/>
    <s v="Sahil Agarwal"/>
  </r>
  <r>
    <s v="2024-10-12"/>
    <s v="Speed Auto Kia Pvt Ltd"/>
    <s v="Bangalore"/>
    <s v="Priya Menon"/>
    <s v="Seltos"/>
    <s v="HTE"/>
    <s v="Diesel"/>
    <s v="Manual"/>
    <n v="3"/>
    <n v="1368096"/>
    <n v="55178"/>
    <s v="Cash"/>
    <s v="Diya Joshi"/>
  </r>
  <r>
    <s v="2024-11-21"/>
    <s v="Admire Wheels  Pvt Ltd"/>
    <s v="Delhi"/>
    <s v="Anjali Das"/>
    <s v="Carens"/>
    <s v="GTX"/>
    <s v="Electric"/>
    <s v="Manual"/>
    <n v="2"/>
    <n v="1511190"/>
    <n v="70549"/>
    <s v="Finance"/>
    <s v="Viren Patel"/>
  </r>
  <r>
    <s v="2024-10-24"/>
    <s v="Star Kia Pvt Ltd"/>
    <s v="Pune"/>
    <s v="Neha Singh"/>
    <s v="Seltos"/>
    <s v="HTK"/>
    <s v="Diesel"/>
    <s v="Automatic"/>
    <n v="1"/>
    <n v="1287286"/>
    <n v="14679"/>
    <s v="Finance"/>
    <s v="Esha Dey"/>
  </r>
  <r>
    <s v="2024-11-28"/>
    <s v="Royal Kia Pvt Ltd"/>
    <s v="Chennai"/>
    <s v="Vikas Rao"/>
    <s v="EV6"/>
    <s v="HTX"/>
    <s v="Diesel"/>
    <s v="Automatic"/>
    <n v="3"/>
    <n v="6055515"/>
    <n v="85683"/>
    <s v="Cash"/>
    <s v="Jatin Malhotra"/>
  </r>
  <r>
    <s v="2024-10-28"/>
    <s v="Elite Kia Pvt Ltd"/>
    <s v="Hyderabad"/>
    <s v="Neha Singh"/>
    <s v="EV6"/>
    <s v="HTX"/>
    <s v="Electric"/>
    <s v="Manual"/>
    <n v="1"/>
    <n v="6015632"/>
    <n v="53390"/>
    <s v="Lease"/>
    <s v="Sonal Ghosh"/>
  </r>
  <r>
    <s v="2024-10-15"/>
    <s v="Speed Auto Kia Pvt Ltd"/>
    <s v="Bangalore"/>
    <s v="Ravi Patel"/>
    <s v="Sonet"/>
    <s v="HTK"/>
    <s v="Petrol"/>
    <s v="Automatic"/>
    <n v="2"/>
    <n v="986043"/>
    <n v="52697"/>
    <s v="Lease"/>
    <s v="Harsh Vora"/>
  </r>
  <r>
    <s v="2024-10-24"/>
    <s v="Star Kia Pvt Ltd"/>
    <s v="Pune"/>
    <s v="Anjali Das"/>
    <s v="Sonet"/>
    <s v="GTX"/>
    <s v="Petrol"/>
    <s v="Manual"/>
    <n v="2"/>
    <n v="957046"/>
    <n v="31843"/>
    <s v="Finance"/>
    <s v="Rachna Iyer"/>
  </r>
  <r>
    <s v="2024-10-16"/>
    <s v="Royal Kia Pvt Ltd"/>
    <s v="Chennai"/>
    <s v="Amit Sharma"/>
    <s v="EV6"/>
    <s v="HTX"/>
    <s v="Diesel"/>
    <s v="Manual"/>
    <n v="3"/>
    <n v="6054976"/>
    <n v="149680"/>
    <s v="Finance"/>
    <s v="Sidharth Rao"/>
  </r>
  <r>
    <s v="2024-11-03"/>
    <s v="Speed Auto Kia Pvt Ltd"/>
    <s v="Bangalore"/>
    <s v="Anjali Das"/>
    <s v="Carens"/>
    <s v="HTE"/>
    <s v="Electric"/>
    <s v="Automatic"/>
    <n v="1"/>
    <n v="1584898"/>
    <n v="64062"/>
    <s v="Finance"/>
    <s v="Rupal Singh"/>
  </r>
  <r>
    <s v="2024-10-27"/>
    <s v="Star Kia Pvt Ltd"/>
    <s v="Pune"/>
    <s v="Amit Sharma"/>
    <s v="Seltos"/>
    <s v="X-Line"/>
    <s v="Petrol"/>
    <s v="Automatic"/>
    <n v="2"/>
    <n v="1380676"/>
    <n v="50986"/>
    <s v="Lease"/>
    <s v="Nishant Mehta"/>
  </r>
  <r>
    <s v="2024-11-08"/>
    <s v="Royal Kia Pvt Ltd"/>
    <s v="Chennai"/>
    <s v="Anjali Das"/>
    <s v="Carens"/>
    <s v="GTX"/>
    <s v="Electric"/>
    <s v="Manual"/>
    <n v="1"/>
    <n v="1577064"/>
    <n v="17957"/>
    <s v="Lease"/>
    <s v="Ishita Reddy"/>
  </r>
  <r>
    <s v="2024-11-19"/>
    <s v="Admire Wheels  Pvt Ltd"/>
    <s v="Delhi"/>
    <s v="Neha Singh"/>
    <s v="Carens"/>
    <s v="X-Line"/>
    <s v="Petrol"/>
    <s v="Automatic"/>
    <n v="1"/>
    <n v="1594769"/>
    <n v="36738"/>
    <s v="Cash"/>
    <s v="Rakesh Sharma"/>
  </r>
  <r>
    <s v="2024-11-02"/>
    <s v="Elite Kia  Pvt Ltd"/>
    <s v="Hyderabad"/>
    <s v="Priya Menon"/>
    <s v="EV6"/>
    <s v="HTX"/>
    <s v="Petrol"/>
    <s v="Automatic"/>
    <n v="2"/>
    <n v="6021676"/>
    <n v="104459"/>
    <s v="Lease"/>
    <s v="Komal Bhatt"/>
  </r>
  <r>
    <s v="2024-10-20"/>
    <s v="Elite Kia  Pvt Ltd"/>
    <s v="Hyderabad"/>
    <s v="Amit Sharma"/>
    <s v="EV6"/>
    <s v="HTK"/>
    <s v="Diesel"/>
    <s v="Automatic"/>
    <n v="1"/>
    <n v="6083232"/>
    <n v="147818"/>
    <s v="Finance"/>
    <s v="Tejas Khanna"/>
  </r>
  <r>
    <s v="2024-11-02"/>
    <s v="Royal Kia Pvt Ltd"/>
    <s v="Chennai"/>
    <s v="Vikas Rao"/>
    <s v="Sonet"/>
    <s v="HTX"/>
    <s v="Electric"/>
    <s v="Automatic"/>
    <n v="3"/>
    <n v="928264"/>
    <n v="64884"/>
    <s v="Cash"/>
    <s v="Anushka Menon"/>
  </r>
  <r>
    <s v="2024-11-01"/>
    <s v="Star Kia Pvt Ltd"/>
    <s v="Pune"/>
    <s v="Priya Menon"/>
    <s v="EV6"/>
    <s v="HTX"/>
    <s v="Diesel"/>
    <s v="Automatic"/>
    <n v="3"/>
    <n v="6094681"/>
    <n v="149991"/>
    <s v="Cash"/>
    <s v="Arnav Jain"/>
  </r>
  <r>
    <s v="2024-10-23"/>
    <s v="Speed Auto Kia Pvt Ltd"/>
    <s v="Bangalore"/>
    <s v="Priya Menon"/>
    <s v="EV6"/>
    <s v="HTK"/>
    <s v="Electric"/>
    <s v="Automatic"/>
    <n v="3"/>
    <n v="5961441"/>
    <n v="91704"/>
    <s v="Finance"/>
    <s v="Sneha Basu"/>
  </r>
  <r>
    <s v="2024-11-21"/>
    <s v="Kia Motors  Pvt Ltd"/>
    <s v="Mumbai"/>
    <s v="Amit Sharma"/>
    <s v="EV6"/>
    <s v="HTE"/>
    <s v="Diesel"/>
    <s v="Manual"/>
    <n v="2"/>
    <n v="6081672"/>
    <n v="127356"/>
    <s v="Lease"/>
    <s v="Dev Mishra"/>
  </r>
  <r>
    <s v="2024-10-27"/>
    <s v="Speed Auto Kia Pvt Ltd"/>
    <s v="Bangalore"/>
    <s v="Ravi Patel"/>
    <s v="Sonet"/>
    <s v="HTK"/>
    <s v="Diesel"/>
    <s v="Automatic"/>
    <n v="2"/>
    <n v="890464"/>
    <n v="14903"/>
    <s v="Lease"/>
    <s v="Anjali Nair"/>
  </r>
  <r>
    <s v="2024-11-23"/>
    <s v="Speed Auto Kia Pvt Ltd"/>
    <s v="Bangalore"/>
    <s v="Priya Menon"/>
    <s v="Carens"/>
    <s v="X-Line"/>
    <s v="Electric"/>
    <s v="Manual"/>
    <n v="3"/>
    <n v="1533010"/>
    <n v="51077"/>
    <s v="Lease"/>
    <s v="Puneet Sethi"/>
  </r>
  <r>
    <s v="2024-11-22"/>
    <s v="Kia Motors Pvt Ltd"/>
    <s v="Mumbai"/>
    <s v="Anjali Das"/>
    <s v="Seltos"/>
    <s v="HTX"/>
    <s v="Electric"/>
    <s v="Manual"/>
    <n v="1"/>
    <n v="1273692"/>
    <n v="38440"/>
    <s v="Finance"/>
    <s v="Manya Kapoor"/>
  </r>
  <r>
    <s v="2024-11-20"/>
    <s v="Admire Wheels  Pvt Ltd"/>
    <s v="Delhi"/>
    <s v="Ravi Patel"/>
    <s v="Carens"/>
    <s v="HTE"/>
    <s v="Diesel"/>
    <s v="Automatic"/>
    <n v="1"/>
    <n v="1535032"/>
    <n v="62176"/>
    <s v="Finance"/>
    <s v="Harshit Agarwal"/>
  </r>
  <r>
    <s v="2024-10-14"/>
    <s v="Speed Auto Kia Pvt Ltd"/>
    <s v="Bangalore"/>
    <s v="Neha Singh"/>
    <s v="Seltos"/>
    <s v="X-Line"/>
    <s v="Petrol"/>
    <s v="Manual"/>
    <n v="1"/>
    <n v="1398354"/>
    <n v="54682"/>
    <s v="Lease"/>
    <s v="Shalini Dubey"/>
  </r>
  <r>
    <s v="2024-11-17"/>
    <s v="Elite Kia Pvt Ltd"/>
    <s v="Hyderabad"/>
    <s v="Anjali Das"/>
    <s v="Seltos"/>
    <s v="GTX"/>
    <s v="Diesel"/>
    <s v="Automatic"/>
    <n v="2"/>
    <n v="1287517"/>
    <n v="25216"/>
    <s v="Finance"/>
    <s v="Keshav Tiwari"/>
  </r>
  <r>
    <s v="2024-11-19"/>
    <s v="Royal Kia Pvt Ltd"/>
    <s v="Chennai"/>
    <s v="Priya Menon"/>
    <s v="EV6"/>
    <s v="HTX"/>
    <s v="Diesel"/>
    <s v="Automatic"/>
    <n v="1"/>
    <n v="6093287"/>
    <n v="70706"/>
    <s v="Lease"/>
    <s v="Radhika Arora"/>
  </r>
  <r>
    <s v="2024-10-20"/>
    <s v="Star Kia  Pvt Ltd"/>
    <s v="Pune"/>
    <s v="Amit Sharma"/>
    <s v="Carens"/>
    <s v="GTX"/>
    <s v="Petrol"/>
    <s v="Automatic"/>
    <n v="2"/>
    <n v="1502223"/>
    <n v="35211"/>
    <s v="Lease"/>
    <s v="Nitin Chatterjee"/>
  </r>
  <r>
    <s v="2024-11-13"/>
    <s v="Admire Wheels Pvt Ltd"/>
    <s v="Delhi"/>
    <s v="Vikas Rao"/>
    <s v="Carens"/>
    <s v="HTX"/>
    <s v="Electric"/>
    <s v="Manual"/>
    <n v="1"/>
    <n v="1553758"/>
    <n v="27988"/>
    <s v="Lease"/>
    <s v="Aanya Verma"/>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2024-11-19"/>
    <s v="Speed Auto Kia Pvt Ltd"/>
    <s v="Bangalore"/>
    <s v="Anjali Das"/>
    <x v="0"/>
    <s v="HTK"/>
    <x v="0"/>
    <s v="Manual"/>
    <n v="3"/>
    <n v="1349471"/>
    <n v="27691"/>
    <s v="Lease"/>
    <s v="Aarav Mehta"/>
  </r>
  <r>
    <s v="2024-10-17"/>
    <s v="Admire Wheels  Pvt Ltd"/>
    <s v="Delhi"/>
    <s v="Amit Sharma"/>
    <x v="1"/>
    <s v="HTK"/>
    <x v="1"/>
    <s v="Automatic"/>
    <n v="2"/>
    <n v="932694"/>
    <n v="36290"/>
    <s v="Cash"/>
    <s v="Priya Sharma"/>
  </r>
  <r>
    <s v="2024-10-11"/>
    <s v="Kia Motors Pvt Ltd"/>
    <s v="Mumbai"/>
    <s v="Anjali Das"/>
    <x v="2"/>
    <s v="GTX"/>
    <x v="0"/>
    <s v="Automatic"/>
    <n v="1"/>
    <n v="6019436"/>
    <n v="68301"/>
    <s v="Lease"/>
    <s v="Rohan Nair"/>
  </r>
  <r>
    <s v="2024-11-26"/>
    <s v="Kia Motors Pvt Ltd"/>
    <s v="Mumbai"/>
    <s v="Amit Sharma"/>
    <x v="2"/>
    <s v="HTX"/>
    <x v="1"/>
    <s v="Manual"/>
    <n v="2"/>
    <n v="5986262"/>
    <n v="116784"/>
    <s v="Cash"/>
    <s v="Sneha Verma"/>
  </r>
  <r>
    <s v="2024-10-27"/>
    <s v="Admire Wheels Pvt Ltd"/>
    <s v="Delhi"/>
    <s v="Priya Menon"/>
    <x v="2"/>
    <s v="X-Line"/>
    <x v="0"/>
    <s v="Automatic"/>
    <n v="3"/>
    <n v="6050864"/>
    <n v="100019"/>
    <s v="Lease"/>
    <s v="Aditya Iyer"/>
  </r>
  <r>
    <s v="2024-10-25"/>
    <s v="Star Kia Pvt Ltd"/>
    <s v="Pune"/>
    <s v="Priya Menon"/>
    <x v="1"/>
    <s v="X-Line"/>
    <x v="1"/>
    <s v="Automatic"/>
    <n v="2"/>
    <n v="1939174"/>
    <n v="17310"/>
    <s v="Cash"/>
    <s v="Neha Reddy"/>
  </r>
  <r>
    <s v="2024-10-24"/>
    <s v="Admire Wheels  Pvt Ltd"/>
    <s v="Delhi"/>
    <s v="Vikas Rao"/>
    <x v="0"/>
    <s v="X-Line"/>
    <x v="0"/>
    <s v="Manual"/>
    <n v="3"/>
    <n v="1328235"/>
    <n v="65159"/>
    <s v="Cash"/>
    <s v="Karan Patel"/>
  </r>
  <r>
    <s v="2024-10-18"/>
    <s v="Elite Kia Pvt Ltd"/>
    <s v="Hyderabad"/>
    <s v="Priya Menon"/>
    <x v="0"/>
    <s v="X-Line"/>
    <x v="1"/>
    <s v="Manual"/>
    <n v="2"/>
    <n v="1250149"/>
    <n v="49252"/>
    <s v="Finance"/>
    <s v="Aishwarya Rao"/>
  </r>
  <r>
    <s v="2024-11-26"/>
    <s v="Kia Motors Pvt Ltd"/>
    <s v="Mumbai"/>
    <s v="Amit Sharma"/>
    <x v="0"/>
    <s v="HTE"/>
    <x v="0"/>
    <s v="Automatic"/>
    <n v="1"/>
    <n v="1398729"/>
    <n v="72059"/>
    <s v="Cash"/>
    <s v="Vivek Bansal"/>
  </r>
  <r>
    <s v="2024-10-16"/>
    <s v="Elite Kia Pvt Ltd"/>
    <s v="Hyderabad"/>
    <s v="Vikas Rao"/>
    <x v="0"/>
    <s v="GTX"/>
    <x v="2"/>
    <s v="Manual"/>
    <n v="3"/>
    <n v="1293287"/>
    <n v="27370"/>
    <s v="Lease"/>
    <s v="Divya Singh"/>
  </r>
  <r>
    <s v="2024-11-22"/>
    <s v="Royal Kia Pvt Ltd"/>
    <s v="Chennai"/>
    <s v="Priya Menon"/>
    <x v="3"/>
    <s v="GTX"/>
    <x v="1"/>
    <s v="Manual"/>
    <n v="3"/>
    <n v="1547889"/>
    <n v="38711"/>
    <s v="Cash"/>
    <s v="Arjun Malhotra"/>
  </r>
  <r>
    <s v="2024-11-26"/>
    <s v="Elite Kia Pvt Ltd"/>
    <s v="Hyderabad"/>
    <s v="Neha Singh"/>
    <x v="3"/>
    <s v="HTE"/>
    <x v="1"/>
    <s v="Manual"/>
    <n v="3"/>
    <n v="1595207"/>
    <n v="25080"/>
    <s v="Lease"/>
    <s v="Tanya Gupta"/>
  </r>
  <r>
    <s v="2024-11-13"/>
    <s v="Admire Wheels  Pvt Ltd"/>
    <s v="Delhi"/>
    <s v="Neha Singh"/>
    <x v="0"/>
    <s v="HTE"/>
    <x v="2"/>
    <s v="Automatic"/>
    <n v="3"/>
    <n v="1336619"/>
    <n v="14643"/>
    <s v="Cash"/>
    <s v="Rohit Deshmukh"/>
  </r>
  <r>
    <s v="2024-10-15"/>
    <s v="Speed Auto Kia Pvt Ltd"/>
    <s v="Bangalore"/>
    <s v="Amit Sharma"/>
    <x v="2"/>
    <s v="HTK"/>
    <x v="0"/>
    <s v="Automatic"/>
    <n v="1"/>
    <n v="6056708"/>
    <n v="74957"/>
    <s v="Finance"/>
    <s v="Pooja Menon"/>
  </r>
  <r>
    <s v="2024-11-16"/>
    <s v="Royal Kia Pvt Ltd"/>
    <s v="Chennai"/>
    <s v="Anjali Das"/>
    <x v="2"/>
    <s v="GTX"/>
    <x v="1"/>
    <s v="Manual"/>
    <n v="3"/>
    <n v="5964200"/>
    <n v="138259"/>
    <s v="Finance"/>
    <s v="Sameer Khan"/>
  </r>
  <r>
    <s v="2024-11-06"/>
    <s v="Kia Motors Pvt Ltd"/>
    <s v="Mumbai"/>
    <s v="Neha Singh"/>
    <x v="1"/>
    <s v="HTK"/>
    <x v="2"/>
    <s v="Manual"/>
    <n v="2"/>
    <n v="899862"/>
    <n v="45146"/>
    <s v="Finance"/>
    <s v="Kritika Joshi"/>
  </r>
  <r>
    <s v="2024-10-12"/>
    <s v="Speed Auto Kia Pvt Ltd"/>
    <s v="Bangalore"/>
    <s v="Anjali Das"/>
    <x v="0"/>
    <s v="HTE"/>
    <x v="0"/>
    <s v="Manual"/>
    <n v="1"/>
    <n v="1394264"/>
    <n v="16416"/>
    <s v="Cash"/>
    <s v="Harshad Shetty"/>
  </r>
  <r>
    <s v="2024-10-11"/>
    <s v="Speed Auto Kia Pvt Ltd"/>
    <s v="Bangalore"/>
    <s v="Amit Sharma"/>
    <x v="0"/>
    <s v="GTX"/>
    <x v="1"/>
    <s v="Automatic"/>
    <n v="2"/>
    <n v="1376185"/>
    <n v="24008"/>
    <s v="Cash"/>
    <s v="Sakshi Aggarwal"/>
  </r>
  <r>
    <s v="2024-10-15"/>
    <s v="Star Kia Pvt Ltd"/>
    <s v="Pune"/>
    <s v="Vikas Rao"/>
    <x v="3"/>
    <s v="GTX"/>
    <x v="0"/>
    <s v="Automatic"/>
    <n v="3"/>
    <n v="1560888"/>
    <n v="55651"/>
    <s v="Cash"/>
    <s v="Deepak Yadav"/>
  </r>
  <r>
    <s v="2024-10-23"/>
    <s v="Admire Wheels  Pvt Ltd"/>
    <s v="Delhi"/>
    <s v="Ravi Patel"/>
    <x v="3"/>
    <s v="HTK"/>
    <x v="1"/>
    <s v="Manual"/>
    <n v="3"/>
    <n v="1592133"/>
    <n v="13994"/>
    <s v="Lease"/>
    <s v="Ananya Pillai"/>
  </r>
  <r>
    <s v="2024-10-24"/>
    <s v="Elite Kia Pvt Ltd"/>
    <s v="Hyderabad"/>
    <s v="Amit Sharma"/>
    <x v="0"/>
    <s v="HTE"/>
    <x v="0"/>
    <s v="Manual"/>
    <n v="1"/>
    <n v="1271000"/>
    <n v="65793"/>
    <s v="Lease"/>
    <s v="Saurabh Jain"/>
  </r>
  <r>
    <s v="2024-11-11"/>
    <s v="Elite Kia Pvt Ltd"/>
    <s v="Hyderabad"/>
    <s v="Amit Sharma"/>
    <x v="2"/>
    <s v="HTE"/>
    <x v="0"/>
    <s v="Manual"/>
    <n v="3"/>
    <n v="6014543"/>
    <n v="125880"/>
    <s v="Finance"/>
    <s v="Ritu Chauhan"/>
  </r>
  <r>
    <s v="2024-11-17"/>
    <s v="Royal Kia Pvt Ltd"/>
    <s v="Chennai"/>
    <s v="Priya Menon"/>
    <x v="3"/>
    <s v="HTK"/>
    <x v="1"/>
    <s v="Automatic"/>
    <n v="2"/>
    <n v="1532361"/>
    <n v="25642"/>
    <s v="Finance"/>
    <s v="Manish Dubey"/>
  </r>
  <r>
    <s v="2024-10-11"/>
    <s v="Speed Auto Kia Pvt Ltd"/>
    <s v="Bangalore"/>
    <s v="Vikas Rao"/>
    <x v="1"/>
    <s v="HTE"/>
    <x v="1"/>
    <s v="Automatic"/>
    <n v="1"/>
    <n v="997585"/>
    <n v="16552"/>
    <s v="Cash"/>
    <s v="Isha Kapoor"/>
  </r>
  <r>
    <s v="2024-11-14"/>
    <s v="Star Kia Pvt Ltd"/>
    <s v="Pune"/>
    <s v="Vikas Rao"/>
    <x v="1"/>
    <s v="HTK"/>
    <x v="0"/>
    <s v="Automatic"/>
    <n v="2"/>
    <n v="924707"/>
    <n v="20338"/>
    <s v="Lease"/>
    <s v="Gaurav Singh"/>
  </r>
  <r>
    <s v="2024-10-22"/>
    <s v="Kia Motors  Pvt Ltd"/>
    <s v="Mumbai"/>
    <s v="Anjali Das"/>
    <x v="3"/>
    <s v="HTE"/>
    <x v="0"/>
    <s v="Manual"/>
    <n v="1"/>
    <n v="1519328"/>
    <n v="17564"/>
    <s v="Finance"/>
    <s v="Nidhi Soni"/>
  </r>
  <r>
    <s v="2024-11-24"/>
    <s v="Kia Motors Pvt Ltd"/>
    <s v="Mumbai"/>
    <s v="Ravi Patel"/>
    <x v="0"/>
    <s v="HTX"/>
    <x v="1"/>
    <s v="Manual"/>
    <n v="2"/>
    <n v="1319201"/>
    <n v="43122"/>
    <s v="Lease"/>
    <s v="Abhishek Tiwari"/>
  </r>
  <r>
    <s v="2024-11-20"/>
    <s v="Admire Wheels  Pvt Ltd"/>
    <s v="Delhi"/>
    <s v="Anjali Das"/>
    <x v="3"/>
    <s v="HTE"/>
    <x v="2"/>
    <s v="Manual"/>
    <n v="1"/>
    <n v="1537439"/>
    <n v="60536"/>
    <s v="Lease"/>
    <s v="Shreya Das"/>
  </r>
  <r>
    <s v="2024-11-23"/>
    <s v="Admire Wheels  Pvt Ltd"/>
    <s v="Delhi"/>
    <s v="Neha Singh"/>
    <x v="2"/>
    <s v="X-Line"/>
    <x v="0"/>
    <s v="Manual"/>
    <n v="3"/>
    <n v="5979327"/>
    <n v="59862"/>
    <s v="Finance"/>
    <s v="Kunal Chatterjee"/>
  </r>
  <r>
    <s v="2024-11-13"/>
    <s v="Admire Wheels  Pvt Ltd"/>
    <s v="Delhi"/>
    <s v="Ravi Patel"/>
    <x v="2"/>
    <s v="HTK"/>
    <x v="1"/>
    <s v="Manual"/>
    <n v="1"/>
    <n v="6030808"/>
    <n v="97795"/>
    <s v="Lease"/>
    <s v="Aditi Mishra"/>
  </r>
  <r>
    <s v="2024-11-05"/>
    <s v="Speed Auto Kia Pvt Ltd"/>
    <s v="Bangalore"/>
    <s v="Neha Singh"/>
    <x v="3"/>
    <s v="X-Line"/>
    <x v="1"/>
    <s v="Automatic"/>
    <n v="1"/>
    <n v="1490515"/>
    <n v="70670"/>
    <s v="Cash"/>
    <s v="Mohit Chhabra"/>
  </r>
  <r>
    <s v="2024-10-24"/>
    <s v="Royal Kia  Pvt Ltd"/>
    <s v="Chennai"/>
    <s v="Anjali Das"/>
    <x v="3"/>
    <s v="GTX"/>
    <x v="1"/>
    <s v="Automatic"/>
    <n v="1"/>
    <n v="1515055"/>
    <n v="27485"/>
    <s v="Cash"/>
    <s v="Rachita Paul"/>
  </r>
  <r>
    <s v="2024-11-07"/>
    <s v="Speed Auto Kia Pvt Ltd"/>
    <s v="Bangalore"/>
    <s v="Neha Singh"/>
    <x v="0"/>
    <s v="HTK"/>
    <x v="1"/>
    <s v="Manual"/>
    <n v="1"/>
    <n v="1341660"/>
    <n v="30000"/>
    <s v="Finance"/>
    <s v="Yash Ghosh"/>
  </r>
  <r>
    <s v="2024-11-16"/>
    <s v="Star Kia  Pvt Ltd"/>
    <s v="Pune"/>
    <s v="Priya Menon"/>
    <x v="3"/>
    <s v="HTE"/>
    <x v="0"/>
    <s v="Automatic"/>
    <n v="3"/>
    <n v="1542050"/>
    <n v="52040"/>
    <s v="Cash"/>
    <s v="Kavita Arora"/>
  </r>
  <r>
    <s v="2024-10-27"/>
    <s v="Elite Kia  Pvt Ltd"/>
    <s v="Hyderabad"/>
    <s v="Vikas Rao"/>
    <x v="3"/>
    <s v="HTK"/>
    <x v="2"/>
    <s v="Automatic"/>
    <n v="1"/>
    <n v="1519590"/>
    <n v="12507"/>
    <s v="Lease"/>
    <s v="Rajeev Sharma"/>
  </r>
  <r>
    <s v="2024-11-30"/>
    <s v="Elite Kia Pvt Ltd"/>
    <s v="Hyderabad"/>
    <s v="Neha Singh"/>
    <x v="2"/>
    <s v="X-Line"/>
    <x v="2"/>
    <s v="Manual"/>
    <n v="3"/>
    <n v="5980315"/>
    <n v="100488"/>
    <s v="Lease"/>
    <s v="Rupal Dey"/>
  </r>
  <r>
    <s v="2024-10-10"/>
    <s v="Elite Kia Pvt Ltd"/>
    <s v="Hyderabad"/>
    <s v="Amit Sharma"/>
    <x v="1"/>
    <s v="X-Line"/>
    <x v="0"/>
    <s v="Automatic"/>
    <n v="2"/>
    <n v="901651"/>
    <n v="33869"/>
    <s v="Lease"/>
    <s v="Chetan Mehra"/>
  </r>
  <r>
    <s v="2024-11-27"/>
    <s v="Elite Kia Pvt Ltd"/>
    <s v="Hyderabad"/>
    <s v="Ravi Patel"/>
    <x v="1"/>
    <s v="HTX"/>
    <x v="2"/>
    <s v="Automatic"/>
    <n v="2"/>
    <n v="931077"/>
    <n v="53705"/>
    <s v="Lease"/>
    <s v="Preeti Ramaswamy"/>
  </r>
  <r>
    <s v="2024-11-30"/>
    <s v="Royal Kia Pvt Ltd"/>
    <s v="Chennai"/>
    <s v="Neha Singh"/>
    <x v="0"/>
    <s v="GTX"/>
    <x v="0"/>
    <s v="Automatic"/>
    <n v="3"/>
    <n v="1349390"/>
    <n v="54388"/>
    <s v="Finance"/>
    <s v="Ashish Rao"/>
  </r>
  <r>
    <s v="2024-10-20"/>
    <s v="Kia Motors Pvt Ltd"/>
    <s v="Mumbai"/>
    <s v="Vikas Rao"/>
    <x v="3"/>
    <s v="HTX"/>
    <x v="0"/>
    <s v="Automatic"/>
    <n v="3"/>
    <n v="1562692"/>
    <n v="61495"/>
    <s v="Finance"/>
    <s v="Payal Mukherjee"/>
  </r>
  <r>
    <s v="2024-11-23"/>
    <s v="Elite Kia Pvt Ltd"/>
    <s v="Hyderabad"/>
    <s v="Anjali Das"/>
    <x v="2"/>
    <s v="HTK"/>
    <x v="1"/>
    <s v="Automatic"/>
    <n v="1"/>
    <n v="6074042"/>
    <n v="146463"/>
    <s v="Lease"/>
    <s v="Devansh Chauhan"/>
  </r>
  <r>
    <s v="2024-11-06"/>
    <s v="Royal Kia Pvt Ltd"/>
    <s v="Chennai"/>
    <s v="Neha Singh"/>
    <x v="1"/>
    <s v="HTK"/>
    <x v="1"/>
    <s v="Manual"/>
    <n v="1"/>
    <n v="931374"/>
    <n v="24722"/>
    <s v="Cash"/>
    <s v="Bhavna Sethi"/>
  </r>
  <r>
    <s v="2024-10-31"/>
    <s v="Speed Auto Kia Pvt Ltd"/>
    <s v="Bangalore"/>
    <s v="Priya Menon"/>
    <x v="1"/>
    <s v="GTX"/>
    <x v="2"/>
    <s v="Automatic"/>
    <n v="3"/>
    <n v="900970"/>
    <n v="57077"/>
    <s v="Cash"/>
    <s v="Varun Iyer"/>
  </r>
  <r>
    <s v="2024-10-27"/>
    <s v="Speed Auto Kia Pvt Ltd"/>
    <s v="Bangalore"/>
    <s v="Vikas Rao"/>
    <x v="1"/>
    <s v="HTE"/>
    <x v="2"/>
    <s v="Manual"/>
    <n v="3"/>
    <n v="907367"/>
    <n v="21526"/>
    <s v="Lease"/>
    <s v="Snehal Patil"/>
  </r>
  <r>
    <s v="2024-10-19"/>
    <s v="Kia Motors  Pvt Ltd"/>
    <s v="Mumbai"/>
    <s v="Vikas Rao"/>
    <x v="1"/>
    <s v="GTX"/>
    <x v="0"/>
    <s v="Automatic"/>
    <n v="3"/>
    <n v="971803"/>
    <n v="53750"/>
    <s v="Finance"/>
    <s v="Rajat Kapoor"/>
  </r>
  <r>
    <s v="2024-10-23"/>
    <s v="Royal Kia Pvt Ltd"/>
    <s v="Chennai"/>
    <s v="Neha Singh"/>
    <x v="2"/>
    <s v="HTK"/>
    <x v="0"/>
    <s v="Automatic"/>
    <n v="2"/>
    <n v="6074433"/>
    <n v="108991"/>
    <s v="Lease"/>
    <s v="Megha Nair"/>
  </r>
  <r>
    <s v="2024-11-27"/>
    <s v="Speed Auto Kia Pvt Ltd"/>
    <s v="Bangalore"/>
    <s v="Neha Singh"/>
    <x v="0"/>
    <s v="HTX"/>
    <x v="2"/>
    <s v="Automatic"/>
    <n v="2"/>
    <n v="1270311"/>
    <n v="56762"/>
    <s v="Finance"/>
    <s v="Nikhil Bhatia"/>
  </r>
  <r>
    <s v="2024-10-31"/>
    <s v="Kia Motors  Pvt Ltd"/>
    <s v="Mumbai"/>
    <s v="Anjali Das"/>
    <x v="0"/>
    <s v="HTK"/>
    <x v="1"/>
    <s v="Manual"/>
    <n v="1"/>
    <n v="1350410"/>
    <n v="55478"/>
    <s v="Finance"/>
    <s v="Riya D’Souza"/>
  </r>
  <r>
    <s v="2024-10-16"/>
    <s v="Speed Auto Kia Pvt Ltd"/>
    <s v="Bangalore"/>
    <s v="Priya Menon"/>
    <x v="3"/>
    <s v="X-Line"/>
    <x v="2"/>
    <s v="Manual"/>
    <n v="1"/>
    <n v="1558992"/>
    <n v="14080"/>
    <s v="Lease"/>
    <s v="Aman Khanna"/>
  </r>
  <r>
    <s v="2024-10-15"/>
    <s v="Star Kia Pvt Ltd"/>
    <s v="Pune"/>
    <s v="Priya Menon"/>
    <x v="2"/>
    <s v="HTE"/>
    <x v="0"/>
    <s v="Manual"/>
    <n v="2"/>
    <n v="6028279"/>
    <n v="148759"/>
    <s v="Finance"/>
    <s v="Charvi Gaur"/>
  </r>
  <r>
    <s v="2024-11-03"/>
    <s v="Speed Auto Kia Pvt Ltd"/>
    <s v="Bangalore"/>
    <s v="Anjali Das"/>
    <x v="3"/>
    <s v="GTX"/>
    <x v="0"/>
    <s v="Automatic"/>
    <n v="2"/>
    <n v="1457608"/>
    <n v="35484"/>
    <s v="Lease"/>
    <s v="Sandeep Menon"/>
  </r>
  <r>
    <s v="2024-10-16"/>
    <s v="Elite Kia  Pvt Ltd"/>
    <s v="Hyderabad"/>
    <s v="Vikas Rao"/>
    <x v="2"/>
    <s v="HTK"/>
    <x v="0"/>
    <s v="Manual"/>
    <n v="2"/>
    <n v="6090017"/>
    <n v="53534"/>
    <s v="Cash"/>
    <s v="Shruti Joshi"/>
  </r>
  <r>
    <s v="2024-11-01"/>
    <s v="Kia Motors Pvt Ltd"/>
    <s v="Mumbai"/>
    <s v="Ravi Patel"/>
    <x v="0"/>
    <s v="GTX"/>
    <x v="1"/>
    <s v="Automatic"/>
    <n v="2"/>
    <n v="1263181"/>
    <n v="27049"/>
    <s v="Finance"/>
    <s v="Chirag Shah"/>
  </r>
  <r>
    <s v="2024-11-01"/>
    <s v="Speed Auto Kia Pvt Ltd"/>
    <s v="Bangalore"/>
    <s v="Amit Sharma"/>
    <x v="2"/>
    <s v="HTX"/>
    <x v="0"/>
    <s v="Manual"/>
    <n v="2"/>
    <n v="6016131"/>
    <n v="60735"/>
    <s v="Finance"/>
    <s v="Tanvi Reddy"/>
  </r>
  <r>
    <s v="2024-11-17"/>
    <s v="Admire Wheels  Pvt Ltd"/>
    <s v="Delhi"/>
    <s v="Vikas Rao"/>
    <x v="1"/>
    <s v="HTE"/>
    <x v="1"/>
    <s v="Manual"/>
    <n v="1"/>
    <n v="914823"/>
    <n v="23065"/>
    <s v="Cash"/>
    <s v="Vipul Jain"/>
  </r>
  <r>
    <s v="2024-10-26"/>
    <s v="Kia Motors  Pvt Ltd"/>
    <s v="Mumbai"/>
    <s v="Ravi Patel"/>
    <x v="1"/>
    <s v="X-Line"/>
    <x v="1"/>
    <s v="Manual"/>
    <n v="2"/>
    <n v="971905"/>
    <n v="55840"/>
    <s v="Cash"/>
    <s v="Garima Bhatnagar"/>
  </r>
  <r>
    <s v="2024-11-30"/>
    <s v="Admire Wheels  Pvt Ltd"/>
    <s v="Delhi"/>
    <s v="Priya Menon"/>
    <x v="1"/>
    <s v="X-Line"/>
    <x v="2"/>
    <s v="Manual"/>
    <n v="3"/>
    <n v="931777"/>
    <n v="47735"/>
    <s v="Cash"/>
    <s v="Parth Desai"/>
  </r>
  <r>
    <s v="2024-10-12"/>
    <s v="Royal Kia  Pvt Ltd"/>
    <s v="Chennai"/>
    <s v="Amit Sharma"/>
    <x v="1"/>
    <s v="HTX"/>
    <x v="2"/>
    <s v="Automatic"/>
    <n v="3"/>
    <n v="881733"/>
    <n v="62181"/>
    <s v="Lease"/>
    <s v="Mitali Basu"/>
  </r>
  <r>
    <s v="2024-11-25"/>
    <s v="Royal Kia Pvt Ltd"/>
    <s v="Chennai"/>
    <s v="Priya Menon"/>
    <x v="1"/>
    <s v="X-Line"/>
    <x v="1"/>
    <s v="Automatic"/>
    <n v="2"/>
    <n v="939451"/>
    <n v="10829"/>
    <s v="Finance"/>
    <s v="Anuj Kumar"/>
  </r>
  <r>
    <s v="2024-11-08"/>
    <s v="Kia Motors  Pvt Ltd"/>
    <s v="Mumbai"/>
    <s v="Ravi Patel"/>
    <x v="0"/>
    <s v="GTX"/>
    <x v="0"/>
    <s v="Automatic"/>
    <n v="3"/>
    <n v="1386772"/>
    <n v="73273"/>
    <s v="Finance"/>
    <s v="Sanjana Pillai"/>
  </r>
  <r>
    <s v="2024-11-13"/>
    <s v="Kia Motors Pvt Ltd"/>
    <s v="Mumbai"/>
    <s v="Neha Singh"/>
    <x v="3"/>
    <s v="HTX"/>
    <x v="2"/>
    <s v="Automatic"/>
    <n v="2"/>
    <n v="1472718"/>
    <n v="28279"/>
    <s v="Finance"/>
    <s v="Hardik Trivedi"/>
  </r>
  <r>
    <s v="2024-10-17"/>
    <s v="Kia Motors Pvt Ltd"/>
    <s v="Mumbai"/>
    <s v="Ravi Patel"/>
    <x v="2"/>
    <s v="HTX"/>
    <x v="2"/>
    <s v="Automatic"/>
    <n v="2"/>
    <n v="6077808"/>
    <n v="77802"/>
    <s v="Lease"/>
    <s v="Kriti Mehta"/>
  </r>
  <r>
    <s v="2024-11-03"/>
    <s v="Kia Motors Pvt Ltd"/>
    <s v="Mumbai"/>
    <s v="Priya Menon"/>
    <x v="1"/>
    <s v="X-Line"/>
    <x v="2"/>
    <s v="Manual"/>
    <n v="3"/>
    <n v="872442"/>
    <n v="25817"/>
    <s v="Lease"/>
    <s v="Laksh Arora"/>
  </r>
  <r>
    <s v="2024-10-15"/>
    <s v="Admire Wheels  Pvt Ltd"/>
    <s v="Delhi"/>
    <s v="Priya Menon"/>
    <x v="2"/>
    <s v="GTX"/>
    <x v="0"/>
    <s v="Manual"/>
    <n v="1"/>
    <n v="5974393"/>
    <n v="88566"/>
    <s v="Finance"/>
    <s v="Simran Kaur"/>
  </r>
  <r>
    <s v="2024-11-14"/>
    <s v="Elite Kia  Pvt Ltd"/>
    <s v="Hyderabad"/>
    <s v="Vikas Rao"/>
    <x v="2"/>
    <s v="X-Line"/>
    <x v="2"/>
    <s v="Automatic"/>
    <n v="3"/>
    <n v="6040113"/>
    <n v="105771"/>
    <s v="Lease"/>
    <s v="Rajesh Reddy"/>
  </r>
  <r>
    <s v="2024-10-28"/>
    <s v="Star Kia  Pvt Ltd"/>
    <s v="Pune"/>
    <s v="Neha Singh"/>
    <x v="3"/>
    <s v="HTX"/>
    <x v="2"/>
    <s v="Manual"/>
    <n v="3"/>
    <n v="1510434"/>
    <n v="17907"/>
    <s v="Lease"/>
    <s v="Aakriti Bansal"/>
  </r>
  <r>
    <s v="2024-11-19"/>
    <s v="Royal Kia  Pvt Ltd"/>
    <s v="Chennai"/>
    <s v="Vikas Rao"/>
    <x v="0"/>
    <s v="HTK"/>
    <x v="0"/>
    <s v="Automatic"/>
    <n v="3"/>
    <n v="1376929"/>
    <n v="28120"/>
    <s v="Cash"/>
    <s v="Deepesh Sharma"/>
  </r>
  <r>
    <s v="2024-11-18"/>
    <s v="Star Kia  Pvt Ltd"/>
    <s v="Pune"/>
    <s v="Anjali Das"/>
    <x v="3"/>
    <s v="HTK"/>
    <x v="0"/>
    <s v="Manual"/>
    <n v="1"/>
    <n v="1497039"/>
    <n v="29809"/>
    <s v="Finance"/>
    <s v="Nisha Varma"/>
  </r>
  <r>
    <s v="2024-11-02"/>
    <s v="Star Kia  Pvt Ltd"/>
    <s v="Pune"/>
    <s v="Amit Sharma"/>
    <x v="1"/>
    <s v="X-Line"/>
    <x v="1"/>
    <s v="Automatic"/>
    <n v="2"/>
    <n v="883103"/>
    <n v="51803"/>
    <s v="Finance"/>
    <s v="Prateek Sinha"/>
  </r>
  <r>
    <s v="2024-11-15"/>
    <s v="Kia Motors  Pvt Ltd"/>
    <s v="Mumbai"/>
    <s v="Amit Sharma"/>
    <x v="2"/>
    <s v="HTX"/>
    <x v="1"/>
    <s v="Automatic"/>
    <n v="2"/>
    <n v="5963468"/>
    <n v="83092"/>
    <s v="Finance"/>
    <s v="Muskan Kapoor"/>
  </r>
  <r>
    <s v="2024-10-22"/>
    <s v="Kia Motors Pvt Ltd"/>
    <s v="Mumbai"/>
    <s v="Amit Sharma"/>
    <x v="1"/>
    <s v="HTK"/>
    <x v="1"/>
    <s v="Manual"/>
    <n v="2"/>
    <n v="997545"/>
    <n v="72201"/>
    <s v="Lease"/>
    <s v="Ajay Nair"/>
  </r>
  <r>
    <s v="2024-11-24"/>
    <s v="Speed Auto Kia Pvt Ltd"/>
    <s v="Bangalore"/>
    <s v="Ravi Patel"/>
    <x v="0"/>
    <s v="X-Line"/>
    <x v="0"/>
    <s v="Automatic"/>
    <n v="2"/>
    <n v="1368099"/>
    <n v="69539"/>
    <s v="Finance"/>
    <s v="Tania Paul"/>
  </r>
  <r>
    <s v="2024-10-14"/>
    <s v="Royal Kia  Pvt Ltd"/>
    <s v="Chennai"/>
    <s v="Amit Sharma"/>
    <x v="1"/>
    <s v="HTK"/>
    <x v="1"/>
    <s v="Manual"/>
    <n v="3"/>
    <n v="905318"/>
    <n v="27343"/>
    <s v="Cash"/>
    <s v="Sahil Agarwal"/>
  </r>
  <r>
    <s v="2024-10-12"/>
    <s v="Speed Auto Kia Pvt Ltd"/>
    <s v="Bangalore"/>
    <s v="Priya Menon"/>
    <x v="0"/>
    <s v="HTE"/>
    <x v="2"/>
    <s v="Manual"/>
    <n v="3"/>
    <n v="1368096"/>
    <n v="55178"/>
    <s v="Cash"/>
    <s v="Diya Joshi"/>
  </r>
  <r>
    <s v="2024-11-21"/>
    <s v="Admire Wheels  Pvt Ltd"/>
    <s v="Delhi"/>
    <s v="Anjali Das"/>
    <x v="3"/>
    <s v="GTX"/>
    <x v="0"/>
    <s v="Manual"/>
    <n v="2"/>
    <n v="1511190"/>
    <n v="70549"/>
    <s v="Finance"/>
    <s v="Viren Patel"/>
  </r>
  <r>
    <s v="2024-10-24"/>
    <s v="Star Kia Pvt Ltd"/>
    <s v="Pune"/>
    <s v="Neha Singh"/>
    <x v="0"/>
    <s v="HTK"/>
    <x v="2"/>
    <s v="Automatic"/>
    <n v="1"/>
    <n v="1287286"/>
    <n v="14679"/>
    <s v="Finance"/>
    <s v="Esha Dey"/>
  </r>
  <r>
    <s v="2024-11-28"/>
    <s v="Royal Kia Pvt Ltd"/>
    <s v="Chennai"/>
    <s v="Vikas Rao"/>
    <x v="2"/>
    <s v="HTX"/>
    <x v="2"/>
    <s v="Automatic"/>
    <n v="3"/>
    <n v="6055515"/>
    <n v="85683"/>
    <s v="Cash"/>
    <s v="Jatin Malhotra"/>
  </r>
  <r>
    <s v="2024-10-28"/>
    <s v="Elite Kia Pvt Ltd"/>
    <s v="Hyderabad"/>
    <s v="Neha Singh"/>
    <x v="2"/>
    <s v="HTX"/>
    <x v="0"/>
    <s v="Manual"/>
    <n v="1"/>
    <n v="6015632"/>
    <n v="53390"/>
    <s v="Lease"/>
    <s v="Sonal Ghosh"/>
  </r>
  <r>
    <s v="2024-10-15"/>
    <s v="Speed Auto Kia Pvt Ltd"/>
    <s v="Bangalore"/>
    <s v="Ravi Patel"/>
    <x v="1"/>
    <s v="HTK"/>
    <x v="1"/>
    <s v="Automatic"/>
    <n v="2"/>
    <n v="986043"/>
    <n v="52697"/>
    <s v="Lease"/>
    <s v="Harsh Vora"/>
  </r>
  <r>
    <s v="2024-10-24"/>
    <s v="Star Kia Pvt Ltd"/>
    <s v="Pune"/>
    <s v="Anjali Das"/>
    <x v="1"/>
    <s v="GTX"/>
    <x v="1"/>
    <s v="Manual"/>
    <n v="2"/>
    <n v="957046"/>
    <n v="31843"/>
    <s v="Finance"/>
    <s v="Rachna Iyer"/>
  </r>
  <r>
    <s v="2024-10-16"/>
    <s v="Royal Kia Pvt Ltd"/>
    <s v="Chennai"/>
    <s v="Amit Sharma"/>
    <x v="2"/>
    <s v="HTX"/>
    <x v="2"/>
    <s v="Manual"/>
    <n v="3"/>
    <n v="6054976"/>
    <n v="149680"/>
    <s v="Finance"/>
    <s v="Sidharth Rao"/>
  </r>
  <r>
    <s v="2024-11-03"/>
    <s v="Speed Auto Kia Pvt Ltd"/>
    <s v="Bangalore"/>
    <s v="Anjali Das"/>
    <x v="3"/>
    <s v="HTE"/>
    <x v="0"/>
    <s v="Automatic"/>
    <n v="1"/>
    <n v="1584898"/>
    <n v="64062"/>
    <s v="Finance"/>
    <s v="Rupal Singh"/>
  </r>
  <r>
    <s v="2024-10-27"/>
    <s v="Star Kia Pvt Ltd"/>
    <s v="Pune"/>
    <s v="Amit Sharma"/>
    <x v="0"/>
    <s v="X-Line"/>
    <x v="1"/>
    <s v="Automatic"/>
    <n v="2"/>
    <n v="1380676"/>
    <n v="50986"/>
    <s v="Lease"/>
    <s v="Nishant Mehta"/>
  </r>
  <r>
    <s v="2024-11-08"/>
    <s v="Royal Kia Pvt Ltd"/>
    <s v="Chennai"/>
    <s v="Anjali Das"/>
    <x v="3"/>
    <s v="GTX"/>
    <x v="0"/>
    <s v="Manual"/>
    <n v="1"/>
    <n v="1577064"/>
    <n v="17957"/>
    <s v="Lease"/>
    <s v="Ishita Reddy"/>
  </r>
  <r>
    <s v="2024-11-19"/>
    <s v="Admire Wheels  Pvt Ltd"/>
    <s v="Delhi"/>
    <s v="Neha Singh"/>
    <x v="3"/>
    <s v="X-Line"/>
    <x v="1"/>
    <s v="Automatic"/>
    <n v="1"/>
    <n v="1594769"/>
    <n v="36738"/>
    <s v="Cash"/>
    <s v="Rakesh Sharma"/>
  </r>
  <r>
    <s v="2024-11-02"/>
    <s v="Elite Kia  Pvt Ltd"/>
    <s v="Hyderabad"/>
    <s v="Priya Menon"/>
    <x v="2"/>
    <s v="HTX"/>
    <x v="1"/>
    <s v="Automatic"/>
    <n v="2"/>
    <n v="6021676"/>
    <n v="104459"/>
    <s v="Lease"/>
    <s v="Komal Bhatt"/>
  </r>
  <r>
    <s v="2024-10-20"/>
    <s v="Elite Kia  Pvt Ltd"/>
    <s v="Hyderabad"/>
    <s v="Amit Sharma"/>
    <x v="2"/>
    <s v="HTK"/>
    <x v="2"/>
    <s v="Automatic"/>
    <n v="1"/>
    <n v="6083232"/>
    <n v="147818"/>
    <s v="Finance"/>
    <s v="Tejas Khanna"/>
  </r>
  <r>
    <s v="2024-11-02"/>
    <s v="Royal Kia Pvt Ltd"/>
    <s v="Chennai"/>
    <s v="Vikas Rao"/>
    <x v="1"/>
    <s v="HTX"/>
    <x v="0"/>
    <s v="Automatic"/>
    <n v="3"/>
    <n v="928264"/>
    <n v="64884"/>
    <s v="Cash"/>
    <s v="Anushka Menon"/>
  </r>
  <r>
    <s v="2024-11-01"/>
    <s v="Star Kia Pvt Ltd"/>
    <s v="Pune"/>
    <s v="Priya Menon"/>
    <x v="2"/>
    <s v="HTX"/>
    <x v="2"/>
    <s v="Automatic"/>
    <n v="3"/>
    <n v="6094681"/>
    <n v="149991"/>
    <s v="Cash"/>
    <s v="Arnav Jain"/>
  </r>
  <r>
    <s v="2024-10-23"/>
    <s v="Speed Auto Kia Pvt Ltd"/>
    <s v="Bangalore"/>
    <s v="Priya Menon"/>
    <x v="2"/>
    <s v="HTK"/>
    <x v="0"/>
    <s v="Automatic"/>
    <n v="3"/>
    <n v="5961441"/>
    <n v="91704"/>
    <s v="Finance"/>
    <s v="Sneha Basu"/>
  </r>
  <r>
    <s v="2024-11-21"/>
    <s v="Kia Motors  Pvt Ltd"/>
    <s v="Mumbai"/>
    <s v="Amit Sharma"/>
    <x v="2"/>
    <s v="HTE"/>
    <x v="2"/>
    <s v="Manual"/>
    <n v="2"/>
    <n v="6081672"/>
    <n v="127356"/>
    <s v="Lease"/>
    <s v="Dev Mishra"/>
  </r>
  <r>
    <s v="2024-10-27"/>
    <s v="Speed Auto Kia Pvt Ltd"/>
    <s v="Bangalore"/>
    <s v="Ravi Patel"/>
    <x v="1"/>
    <s v="HTK"/>
    <x v="2"/>
    <s v="Automatic"/>
    <n v="2"/>
    <n v="890464"/>
    <n v="14903"/>
    <s v="Lease"/>
    <s v="Anjali Nair"/>
  </r>
  <r>
    <s v="2024-11-23"/>
    <s v="Speed Auto Kia Pvt Ltd"/>
    <s v="Bangalore"/>
    <s v="Priya Menon"/>
    <x v="3"/>
    <s v="X-Line"/>
    <x v="0"/>
    <s v="Manual"/>
    <n v="3"/>
    <n v="1533010"/>
    <n v="51077"/>
    <s v="Lease"/>
    <s v="Puneet Sethi"/>
  </r>
  <r>
    <s v="2024-11-22"/>
    <s v="Kia Motors Pvt Ltd"/>
    <s v="Mumbai"/>
    <s v="Anjali Das"/>
    <x v="0"/>
    <s v="HTX"/>
    <x v="0"/>
    <s v="Manual"/>
    <n v="1"/>
    <n v="1273692"/>
    <n v="38440"/>
    <s v="Finance"/>
    <s v="Manya Kapoor"/>
  </r>
  <r>
    <s v="2024-11-20"/>
    <s v="Admire Wheels  Pvt Ltd"/>
    <s v="Delhi"/>
    <s v="Ravi Patel"/>
    <x v="3"/>
    <s v="HTE"/>
    <x v="2"/>
    <s v="Automatic"/>
    <n v="1"/>
    <n v="1535032"/>
    <n v="62176"/>
    <s v="Finance"/>
    <s v="Harshit Agarwal"/>
  </r>
  <r>
    <s v="2024-10-14"/>
    <s v="Speed Auto Kia Pvt Ltd"/>
    <s v="Bangalore"/>
    <s v="Neha Singh"/>
    <x v="0"/>
    <s v="X-Line"/>
    <x v="1"/>
    <s v="Manual"/>
    <n v="1"/>
    <n v="1398354"/>
    <n v="54682"/>
    <s v="Lease"/>
    <s v="Shalini Dubey"/>
  </r>
  <r>
    <s v="2024-11-17"/>
    <s v="Elite Kia Pvt Ltd"/>
    <s v="Hyderabad"/>
    <s v="Anjali Das"/>
    <x v="0"/>
    <s v="GTX"/>
    <x v="2"/>
    <s v="Automatic"/>
    <n v="2"/>
    <n v="1287517"/>
    <n v="25216"/>
    <s v="Finance"/>
    <s v="Keshav Tiwari"/>
  </r>
  <r>
    <s v="2024-11-19"/>
    <s v="Royal Kia Pvt Ltd"/>
    <s v="Chennai"/>
    <s v="Priya Menon"/>
    <x v="2"/>
    <s v="HTX"/>
    <x v="2"/>
    <s v="Automatic"/>
    <n v="1"/>
    <n v="6093287"/>
    <n v="70706"/>
    <s v="Lease"/>
    <s v="Radhika Arora"/>
  </r>
  <r>
    <s v="2024-10-20"/>
    <s v="Star Kia  Pvt Ltd"/>
    <s v="Pune"/>
    <s v="Amit Sharma"/>
    <x v="3"/>
    <s v="GTX"/>
    <x v="1"/>
    <s v="Automatic"/>
    <n v="2"/>
    <n v="1502223"/>
    <n v="35211"/>
    <s v="Lease"/>
    <s v="Nitin Chatterjee"/>
  </r>
  <r>
    <s v="2024-11-13"/>
    <s v="Admire Wheels Pvt Ltd"/>
    <s v="Delhi"/>
    <s v="Vikas Rao"/>
    <x v="3"/>
    <s v="HTX"/>
    <x v="0"/>
    <s v="Manual"/>
    <n v="1"/>
    <n v="1553758"/>
    <n v="27988"/>
    <s v="Lease"/>
    <s v="Aanya Verma"/>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Speed Auto Kia Pvt Ltd"/>
    <s v="Bangalore"/>
    <s v="Anjali Das"/>
    <x v="0"/>
    <s v="HTK"/>
    <s v="Electric"/>
    <s v="Manual"/>
    <n v="3"/>
    <n v="1349471"/>
    <n v="27691"/>
    <x v="0"/>
  </r>
  <r>
    <s v="Admire Wheels  Pvt Ltd"/>
    <s v="Delhi"/>
    <s v="Amit Sharma"/>
    <x v="1"/>
    <s v="HTK"/>
    <s v="Petrol"/>
    <s v="Automatic"/>
    <n v="2"/>
    <n v="932694"/>
    <n v="36290"/>
    <x v="1"/>
  </r>
  <r>
    <s v="Kia Motors Pvt Ltd"/>
    <s v="Mumbai"/>
    <s v="Anjali Das"/>
    <x v="2"/>
    <s v="GTX"/>
    <s v="Electric"/>
    <s v="Automatic"/>
    <n v="1"/>
    <n v="6019436"/>
    <n v="68301"/>
    <x v="0"/>
  </r>
  <r>
    <s v="Kia Motors Pvt Ltd"/>
    <s v="Mumbai"/>
    <s v="Amit Sharma"/>
    <x v="2"/>
    <s v="HTX"/>
    <s v="Petrol"/>
    <s v="Manual"/>
    <n v="2"/>
    <n v="5986262"/>
    <n v="116784"/>
    <x v="1"/>
  </r>
  <r>
    <s v="Admire Wheels Pvt Ltd"/>
    <s v="Delhi"/>
    <s v="Priya Menon"/>
    <x v="2"/>
    <s v="X-Line"/>
    <s v="Electric"/>
    <s v="Automatic"/>
    <n v="3"/>
    <n v="6050864"/>
    <n v="100019"/>
    <x v="0"/>
  </r>
  <r>
    <s v="Star Kia Pvt Ltd"/>
    <s v="Pune"/>
    <s v="Priya Menon"/>
    <x v="1"/>
    <s v="X-Line"/>
    <s v="Petrol"/>
    <s v="Automatic"/>
    <n v="2"/>
    <n v="1939174"/>
    <n v="17310"/>
    <x v="1"/>
  </r>
  <r>
    <s v="Admire Wheels  Pvt Ltd"/>
    <s v="Delhi"/>
    <s v="Vikas Rao"/>
    <x v="0"/>
    <s v="X-Line"/>
    <s v="Electric"/>
    <s v="Manual"/>
    <n v="3"/>
    <n v="1328235"/>
    <n v="65159"/>
    <x v="1"/>
  </r>
  <r>
    <s v="Elite Kia Pvt Ltd"/>
    <s v="Hyderabad"/>
    <s v="Priya Menon"/>
    <x v="0"/>
    <s v="X-Line"/>
    <s v="Petrol"/>
    <s v="Manual"/>
    <n v="2"/>
    <n v="1250149"/>
    <n v="49252"/>
    <x v="2"/>
  </r>
  <r>
    <s v="Kia Motors Pvt Ltd"/>
    <s v="Mumbai"/>
    <s v="Amit Sharma"/>
    <x v="0"/>
    <s v="HTE"/>
    <s v="Electric"/>
    <s v="Automatic"/>
    <n v="1"/>
    <n v="1398729"/>
    <n v="72059"/>
    <x v="1"/>
  </r>
  <r>
    <s v="Elite Kia Pvt Ltd"/>
    <s v="Hyderabad"/>
    <s v="Vikas Rao"/>
    <x v="0"/>
    <s v="GTX"/>
    <s v="Diesel"/>
    <s v="Manual"/>
    <n v="3"/>
    <n v="1293287"/>
    <n v="27370"/>
    <x v="0"/>
  </r>
  <r>
    <s v="Royal Kia Pvt Ltd"/>
    <s v="Chennai"/>
    <s v="Priya Menon"/>
    <x v="3"/>
    <s v="GTX"/>
    <s v="Petrol"/>
    <s v="Manual"/>
    <n v="3"/>
    <n v="1547889"/>
    <n v="38711"/>
    <x v="1"/>
  </r>
  <r>
    <s v="Elite Kia Pvt Ltd"/>
    <s v="Hyderabad"/>
    <s v="Neha Singh"/>
    <x v="3"/>
    <s v="HTE"/>
    <s v="Petrol"/>
    <s v="Manual"/>
    <n v="3"/>
    <n v="1595207"/>
    <n v="25080"/>
    <x v="0"/>
  </r>
  <r>
    <s v="Admire Wheels  Pvt Ltd"/>
    <s v="Delhi"/>
    <s v="Neha Singh"/>
    <x v="0"/>
    <s v="HTE"/>
    <s v="Diesel"/>
    <s v="Automatic"/>
    <n v="3"/>
    <n v="1336619"/>
    <n v="14643"/>
    <x v="1"/>
  </r>
  <r>
    <s v="Speed Auto Kia Pvt Ltd"/>
    <s v="Bangalore"/>
    <s v="Amit Sharma"/>
    <x v="2"/>
    <s v="HTK"/>
    <s v="Electric"/>
    <s v="Automatic"/>
    <n v="1"/>
    <n v="6056708"/>
    <n v="74957"/>
    <x v="2"/>
  </r>
  <r>
    <s v="Royal Kia Pvt Ltd"/>
    <s v="Chennai"/>
    <s v="Anjali Das"/>
    <x v="2"/>
    <s v="GTX"/>
    <s v="Petrol"/>
    <s v="Manual"/>
    <n v="3"/>
    <n v="5964200"/>
    <n v="138259"/>
    <x v="2"/>
  </r>
  <r>
    <s v="Kia Motors Pvt Ltd"/>
    <s v="Mumbai"/>
    <s v="Neha Singh"/>
    <x v="1"/>
    <s v="HTK"/>
    <s v="Diesel"/>
    <s v="Manual"/>
    <n v="2"/>
    <n v="899862"/>
    <n v="45146"/>
    <x v="2"/>
  </r>
  <r>
    <s v="Speed Auto Kia Pvt Ltd"/>
    <s v="Bangalore"/>
    <s v="Anjali Das"/>
    <x v="0"/>
    <s v="HTE"/>
    <s v="Electric"/>
    <s v="Manual"/>
    <n v="1"/>
    <n v="1394264"/>
    <n v="16416"/>
    <x v="1"/>
  </r>
  <r>
    <s v="Speed Auto Kia Pvt Ltd"/>
    <s v="Bangalore"/>
    <s v="Amit Sharma"/>
    <x v="0"/>
    <s v="GTX"/>
    <s v="Petrol"/>
    <s v="Automatic"/>
    <n v="2"/>
    <n v="1376185"/>
    <n v="24008"/>
    <x v="1"/>
  </r>
  <r>
    <s v="Star Kia Pvt Ltd"/>
    <s v="Pune"/>
    <s v="Vikas Rao"/>
    <x v="3"/>
    <s v="GTX"/>
    <s v="Electric"/>
    <s v="Automatic"/>
    <n v="3"/>
    <n v="1560888"/>
    <n v="55651"/>
    <x v="1"/>
  </r>
  <r>
    <s v="Admire Wheels  Pvt Ltd"/>
    <s v="Delhi"/>
    <s v="Ravi Patel"/>
    <x v="3"/>
    <s v="HTK"/>
    <s v="Petrol"/>
    <s v="Manual"/>
    <n v="3"/>
    <n v="1592133"/>
    <n v="13994"/>
    <x v="0"/>
  </r>
  <r>
    <s v="Elite Kia Pvt Ltd"/>
    <s v="Hyderabad"/>
    <s v="Amit Sharma"/>
    <x v="0"/>
    <s v="HTE"/>
    <s v="Electric"/>
    <s v="Manual"/>
    <n v="1"/>
    <n v="1271000"/>
    <n v="65793"/>
    <x v="0"/>
  </r>
  <r>
    <s v="Elite Kia Pvt Ltd"/>
    <s v="Hyderabad"/>
    <s v="Amit Sharma"/>
    <x v="2"/>
    <s v="HTE"/>
    <s v="Electric"/>
    <s v="Manual"/>
    <n v="3"/>
    <n v="6014543"/>
    <n v="125880"/>
    <x v="2"/>
  </r>
  <r>
    <s v="Royal Kia Pvt Ltd"/>
    <s v="Chennai"/>
    <s v="Priya Menon"/>
    <x v="3"/>
    <s v="HTK"/>
    <s v="Petrol"/>
    <s v="Automatic"/>
    <n v="2"/>
    <n v="1532361"/>
    <n v="25642"/>
    <x v="2"/>
  </r>
  <r>
    <s v="Speed Auto Kia Pvt Ltd"/>
    <s v="Bangalore"/>
    <s v="Vikas Rao"/>
    <x v="1"/>
    <s v="HTE"/>
    <s v="Petrol"/>
    <s v="Automatic"/>
    <n v="1"/>
    <n v="997585"/>
    <n v="16552"/>
    <x v="1"/>
  </r>
  <r>
    <s v="Star Kia Pvt Ltd"/>
    <s v="Pune"/>
    <s v="Vikas Rao"/>
    <x v="1"/>
    <s v="HTK"/>
    <s v="Electric"/>
    <s v="Automatic"/>
    <n v="2"/>
    <n v="924707"/>
    <n v="20338"/>
    <x v="0"/>
  </r>
  <r>
    <s v="Kia Motors  Pvt Ltd"/>
    <s v="Mumbai"/>
    <s v="Anjali Das"/>
    <x v="3"/>
    <s v="HTE"/>
    <s v="Electric"/>
    <s v="Manual"/>
    <n v="1"/>
    <n v="1519328"/>
    <n v="17564"/>
    <x v="2"/>
  </r>
  <r>
    <s v="Kia Motors Pvt Ltd"/>
    <s v="Mumbai"/>
    <s v="Ravi Patel"/>
    <x v="0"/>
    <s v="HTX"/>
    <s v="Petrol"/>
    <s v="Manual"/>
    <n v="2"/>
    <n v="1319201"/>
    <n v="43122"/>
    <x v="0"/>
  </r>
  <r>
    <s v="Admire Wheels  Pvt Ltd"/>
    <s v="Delhi"/>
    <s v="Anjali Das"/>
    <x v="3"/>
    <s v="HTE"/>
    <s v="Diesel"/>
    <s v="Manual"/>
    <n v="1"/>
    <n v="1537439"/>
    <n v="60536"/>
    <x v="0"/>
  </r>
  <r>
    <s v="Admire Wheels  Pvt Ltd"/>
    <s v="Delhi"/>
    <s v="Neha Singh"/>
    <x v="2"/>
    <s v="X-Line"/>
    <s v="Electric"/>
    <s v="Manual"/>
    <n v="3"/>
    <n v="5979327"/>
    <n v="59862"/>
    <x v="2"/>
  </r>
  <r>
    <s v="Admire Wheels  Pvt Ltd"/>
    <s v="Delhi"/>
    <s v="Ravi Patel"/>
    <x v="2"/>
    <s v="HTK"/>
    <s v="Petrol"/>
    <s v="Manual"/>
    <n v="1"/>
    <n v="6030808"/>
    <n v="97795"/>
    <x v="0"/>
  </r>
  <r>
    <s v="Speed Auto Kia Pvt Ltd"/>
    <s v="Bangalore"/>
    <s v="Neha Singh"/>
    <x v="3"/>
    <s v="X-Line"/>
    <s v="Petrol"/>
    <s v="Automatic"/>
    <n v="1"/>
    <n v="1490515"/>
    <n v="70670"/>
    <x v="1"/>
  </r>
  <r>
    <s v="Royal Kia  Pvt Ltd"/>
    <s v="Chennai"/>
    <s v="Anjali Das"/>
    <x v="3"/>
    <s v="GTX"/>
    <s v="Petrol"/>
    <s v="Automatic"/>
    <n v="1"/>
    <n v="1515055"/>
    <n v="27485"/>
    <x v="1"/>
  </r>
  <r>
    <s v="Speed Auto Kia Pvt Ltd"/>
    <s v="Bangalore"/>
    <s v="Neha Singh"/>
    <x v="0"/>
    <s v="HTK"/>
    <s v="Petrol"/>
    <s v="Manual"/>
    <n v="1"/>
    <n v="1341660"/>
    <n v="30000"/>
    <x v="2"/>
  </r>
  <r>
    <s v="Star Kia  Pvt Ltd"/>
    <s v="Pune"/>
    <s v="Priya Menon"/>
    <x v="3"/>
    <s v="HTE"/>
    <s v="Electric"/>
    <s v="Automatic"/>
    <n v="3"/>
    <n v="1542050"/>
    <n v="52040"/>
    <x v="1"/>
  </r>
  <r>
    <s v="Elite Kia  Pvt Ltd"/>
    <s v="Hyderabad"/>
    <s v="Vikas Rao"/>
    <x v="3"/>
    <s v="HTK"/>
    <s v="Diesel"/>
    <s v="Automatic"/>
    <n v="1"/>
    <n v="1519590"/>
    <n v="12507"/>
    <x v="0"/>
  </r>
  <r>
    <s v="Elite Kia Pvt Ltd"/>
    <s v="Hyderabad"/>
    <s v="Neha Singh"/>
    <x v="2"/>
    <s v="X-Line"/>
    <s v="Diesel"/>
    <s v="Manual"/>
    <n v="3"/>
    <n v="5980315"/>
    <n v="100488"/>
    <x v="0"/>
  </r>
  <r>
    <s v="Elite Kia Pvt Ltd"/>
    <s v="Hyderabad"/>
    <s v="Amit Sharma"/>
    <x v="1"/>
    <s v="X-Line"/>
    <s v="Electric"/>
    <s v="Automatic"/>
    <n v="2"/>
    <n v="901651"/>
    <n v="33869"/>
    <x v="0"/>
  </r>
  <r>
    <s v="Elite Kia Pvt Ltd"/>
    <s v="Hyderabad"/>
    <s v="Ravi Patel"/>
    <x v="1"/>
    <s v="HTX"/>
    <s v="Diesel"/>
    <s v="Automatic"/>
    <n v="2"/>
    <n v="931077"/>
    <n v="53705"/>
    <x v="0"/>
  </r>
  <r>
    <s v="Royal Kia Pvt Ltd"/>
    <s v="Chennai"/>
    <s v="Neha Singh"/>
    <x v="0"/>
    <s v="GTX"/>
    <s v="Electric"/>
    <s v="Automatic"/>
    <n v="3"/>
    <n v="1349390"/>
    <n v="54388"/>
    <x v="2"/>
  </r>
  <r>
    <s v="Kia Motors Pvt Ltd"/>
    <s v="Mumbai"/>
    <s v="Vikas Rao"/>
    <x v="3"/>
    <s v="HTX"/>
    <s v="Electric"/>
    <s v="Automatic"/>
    <n v="3"/>
    <n v="1562692"/>
    <n v="61495"/>
    <x v="2"/>
  </r>
  <r>
    <s v="Elite Kia Pvt Ltd"/>
    <s v="Hyderabad"/>
    <s v="Anjali Das"/>
    <x v="2"/>
    <s v="HTK"/>
    <s v="Petrol"/>
    <s v="Automatic"/>
    <n v="1"/>
    <n v="6074042"/>
    <n v="146463"/>
    <x v="0"/>
  </r>
  <r>
    <s v="Royal Kia Pvt Ltd"/>
    <s v="Chennai"/>
    <s v="Neha Singh"/>
    <x v="1"/>
    <s v="HTK"/>
    <s v="Petrol"/>
    <s v="Manual"/>
    <n v="1"/>
    <n v="931374"/>
    <n v="24722"/>
    <x v="1"/>
  </r>
  <r>
    <s v="Speed Auto Kia Pvt Ltd"/>
    <s v="Bangalore"/>
    <s v="Priya Menon"/>
    <x v="1"/>
    <s v="GTX"/>
    <s v="Diesel"/>
    <s v="Automatic"/>
    <n v="3"/>
    <n v="900970"/>
    <n v="57077"/>
    <x v="1"/>
  </r>
  <r>
    <s v="Speed Auto Kia Pvt Ltd"/>
    <s v="Bangalore"/>
    <s v="Vikas Rao"/>
    <x v="1"/>
    <s v="HTE"/>
    <s v="Diesel"/>
    <s v="Manual"/>
    <n v="3"/>
    <n v="907367"/>
    <n v="21526"/>
    <x v="0"/>
  </r>
  <r>
    <s v="Kia Motors  Pvt Ltd"/>
    <s v="Mumbai"/>
    <s v="Vikas Rao"/>
    <x v="1"/>
    <s v="GTX"/>
    <s v="Electric"/>
    <s v="Automatic"/>
    <n v="3"/>
    <n v="971803"/>
    <n v="53750"/>
    <x v="2"/>
  </r>
  <r>
    <s v="Royal Kia Pvt Ltd"/>
    <s v="Chennai"/>
    <s v="Neha Singh"/>
    <x v="2"/>
    <s v="HTK"/>
    <s v="Electric"/>
    <s v="Automatic"/>
    <n v="2"/>
    <n v="6074433"/>
    <n v="108991"/>
    <x v="0"/>
  </r>
  <r>
    <s v="Speed Auto Kia Pvt Ltd"/>
    <s v="Bangalore"/>
    <s v="Neha Singh"/>
    <x v="0"/>
    <s v="HTX"/>
    <s v="Diesel"/>
    <s v="Automatic"/>
    <n v="2"/>
    <n v="1270311"/>
    <n v="56762"/>
    <x v="2"/>
  </r>
  <r>
    <s v="Kia Motors  Pvt Ltd"/>
    <s v="Mumbai"/>
    <s v="Anjali Das"/>
    <x v="0"/>
    <s v="HTK"/>
    <s v="Petrol"/>
    <s v="Manual"/>
    <n v="1"/>
    <n v="1350410"/>
    <n v="55478"/>
    <x v="2"/>
  </r>
  <r>
    <s v="Speed Auto Kia Pvt Ltd"/>
    <s v="Bangalore"/>
    <s v="Priya Menon"/>
    <x v="3"/>
    <s v="X-Line"/>
    <s v="Diesel"/>
    <s v="Manual"/>
    <n v="1"/>
    <n v="1558992"/>
    <n v="14080"/>
    <x v="0"/>
  </r>
  <r>
    <s v="Star Kia Pvt Ltd"/>
    <s v="Pune"/>
    <s v="Priya Menon"/>
    <x v="2"/>
    <s v="HTE"/>
    <s v="Electric"/>
    <s v="Manual"/>
    <n v="2"/>
    <n v="6028279"/>
    <n v="148759"/>
    <x v="2"/>
  </r>
  <r>
    <s v="Speed Auto Kia Pvt Ltd"/>
    <s v="Bangalore"/>
    <s v="Anjali Das"/>
    <x v="3"/>
    <s v="GTX"/>
    <s v="Electric"/>
    <s v="Automatic"/>
    <n v="2"/>
    <n v="1457608"/>
    <n v="35484"/>
    <x v="0"/>
  </r>
  <r>
    <s v="Elite Kia  Pvt Ltd"/>
    <s v="Hyderabad"/>
    <s v="Vikas Rao"/>
    <x v="2"/>
    <s v="HTK"/>
    <s v="Electric"/>
    <s v="Manual"/>
    <n v="2"/>
    <n v="6090017"/>
    <n v="53534"/>
    <x v="1"/>
  </r>
  <r>
    <s v="Kia Motors Pvt Ltd"/>
    <s v="Mumbai"/>
    <s v="Ravi Patel"/>
    <x v="0"/>
    <s v="GTX"/>
    <s v="Petrol"/>
    <s v="Automatic"/>
    <n v="2"/>
    <n v="1263181"/>
    <n v="27049"/>
    <x v="2"/>
  </r>
  <r>
    <s v="Speed Auto Kia Pvt Ltd"/>
    <s v="Bangalore"/>
    <s v="Amit Sharma"/>
    <x v="2"/>
    <s v="HTX"/>
    <s v="Electric"/>
    <s v="Manual"/>
    <n v="2"/>
    <n v="6016131"/>
    <n v="60735"/>
    <x v="2"/>
  </r>
  <r>
    <s v="Admire Wheels  Pvt Ltd"/>
    <s v="Delhi"/>
    <s v="Vikas Rao"/>
    <x v="1"/>
    <s v="HTE"/>
    <s v="Petrol"/>
    <s v="Manual"/>
    <n v="1"/>
    <n v="914823"/>
    <n v="23065"/>
    <x v="1"/>
  </r>
  <r>
    <s v="Kia Motors  Pvt Ltd"/>
    <s v="Mumbai"/>
    <s v="Ravi Patel"/>
    <x v="1"/>
    <s v="X-Line"/>
    <s v="Petrol"/>
    <s v="Manual"/>
    <n v="2"/>
    <n v="971905"/>
    <n v="55840"/>
    <x v="1"/>
  </r>
  <r>
    <s v="Admire Wheels  Pvt Ltd"/>
    <s v="Delhi"/>
    <s v="Priya Menon"/>
    <x v="1"/>
    <s v="X-Line"/>
    <s v="Diesel"/>
    <s v="Manual"/>
    <n v="3"/>
    <n v="931777"/>
    <n v="47735"/>
    <x v="1"/>
  </r>
  <r>
    <s v="Royal Kia  Pvt Ltd"/>
    <s v="Chennai"/>
    <s v="Amit Sharma"/>
    <x v="1"/>
    <s v="HTX"/>
    <s v="Diesel"/>
    <s v="Automatic"/>
    <n v="3"/>
    <n v="881733"/>
    <n v="62181"/>
    <x v="0"/>
  </r>
  <r>
    <s v="Royal Kia Pvt Ltd"/>
    <s v="Chennai"/>
    <s v="Priya Menon"/>
    <x v="1"/>
    <s v="X-Line"/>
    <s v="Petrol"/>
    <s v="Automatic"/>
    <n v="2"/>
    <n v="939451"/>
    <n v="10829"/>
    <x v="2"/>
  </r>
  <r>
    <s v="Kia Motors  Pvt Ltd"/>
    <s v="Mumbai"/>
    <s v="Ravi Patel"/>
    <x v="0"/>
    <s v="GTX"/>
    <s v="Electric"/>
    <s v="Automatic"/>
    <n v="3"/>
    <n v="1386772"/>
    <n v="73273"/>
    <x v="2"/>
  </r>
  <r>
    <s v="Kia Motors Pvt Ltd"/>
    <s v="Mumbai"/>
    <s v="Neha Singh"/>
    <x v="3"/>
    <s v="HTX"/>
    <s v="Diesel"/>
    <s v="Automatic"/>
    <n v="2"/>
    <n v="1472718"/>
    <n v="28279"/>
    <x v="2"/>
  </r>
  <r>
    <s v="Kia Motors Pvt Ltd"/>
    <s v="Mumbai"/>
    <s v="Ravi Patel"/>
    <x v="2"/>
    <s v="HTX"/>
    <s v="Diesel"/>
    <s v="Automatic"/>
    <n v="2"/>
    <n v="6077808"/>
    <n v="77802"/>
    <x v="0"/>
  </r>
  <r>
    <s v="Kia Motors Pvt Ltd"/>
    <s v="Mumbai"/>
    <s v="Priya Menon"/>
    <x v="1"/>
    <s v="X-Line"/>
    <s v="Diesel"/>
    <s v="Manual"/>
    <n v="3"/>
    <n v="872442"/>
    <n v="25817"/>
    <x v="0"/>
  </r>
  <r>
    <s v="Admire Wheels  Pvt Ltd"/>
    <s v="Delhi"/>
    <s v="Priya Menon"/>
    <x v="2"/>
    <s v="GTX"/>
    <s v="Electric"/>
    <s v="Manual"/>
    <n v="1"/>
    <n v="5974393"/>
    <n v="88566"/>
    <x v="2"/>
  </r>
  <r>
    <s v="Elite Kia  Pvt Ltd"/>
    <s v="Hyderabad"/>
    <s v="Vikas Rao"/>
    <x v="2"/>
    <s v="X-Line"/>
    <s v="Diesel"/>
    <s v="Automatic"/>
    <n v="3"/>
    <n v="6040113"/>
    <n v="105771"/>
    <x v="0"/>
  </r>
  <r>
    <s v="Star Kia  Pvt Ltd"/>
    <s v="Pune"/>
    <s v="Neha Singh"/>
    <x v="3"/>
    <s v="HTX"/>
    <s v="Diesel"/>
    <s v="Manual"/>
    <n v="3"/>
    <n v="1510434"/>
    <n v="17907"/>
    <x v="0"/>
  </r>
  <r>
    <s v="Royal Kia  Pvt Ltd"/>
    <s v="Chennai"/>
    <s v="Vikas Rao"/>
    <x v="0"/>
    <s v="HTK"/>
    <s v="Electric"/>
    <s v="Automatic"/>
    <n v="3"/>
    <n v="1376929"/>
    <n v="28120"/>
    <x v="1"/>
  </r>
  <r>
    <s v="Star Kia  Pvt Ltd"/>
    <s v="Pune"/>
    <s v="Anjali Das"/>
    <x v="3"/>
    <s v="HTK"/>
    <s v="Electric"/>
    <s v="Manual"/>
    <n v="1"/>
    <n v="1497039"/>
    <n v="29809"/>
    <x v="2"/>
  </r>
  <r>
    <s v="Star Kia  Pvt Ltd"/>
    <s v="Pune"/>
    <s v="Amit Sharma"/>
    <x v="1"/>
    <s v="X-Line"/>
    <s v="Petrol"/>
    <s v="Automatic"/>
    <n v="2"/>
    <n v="883103"/>
    <n v="51803"/>
    <x v="2"/>
  </r>
  <r>
    <s v="Kia Motors  Pvt Ltd"/>
    <s v="Mumbai"/>
    <s v="Amit Sharma"/>
    <x v="2"/>
    <s v="HTX"/>
    <s v="Petrol"/>
    <s v="Automatic"/>
    <n v="2"/>
    <n v="5963468"/>
    <n v="83092"/>
    <x v="2"/>
  </r>
  <r>
    <s v="Kia Motors Pvt Ltd"/>
    <s v="Mumbai"/>
    <s v="Amit Sharma"/>
    <x v="1"/>
    <s v="HTK"/>
    <s v="Petrol"/>
    <s v="Manual"/>
    <n v="2"/>
    <n v="997545"/>
    <n v="72201"/>
    <x v="0"/>
  </r>
  <r>
    <s v="Speed Auto Kia Pvt Ltd"/>
    <s v="Bangalore"/>
    <s v="Ravi Patel"/>
    <x v="0"/>
    <s v="X-Line"/>
    <s v="Electric"/>
    <s v="Automatic"/>
    <n v="2"/>
    <n v="1368099"/>
    <n v="69539"/>
    <x v="2"/>
  </r>
  <r>
    <s v="Royal Kia  Pvt Ltd"/>
    <s v="Chennai"/>
    <s v="Amit Sharma"/>
    <x v="1"/>
    <s v="HTK"/>
    <s v="Petrol"/>
    <s v="Manual"/>
    <n v="3"/>
    <n v="905318"/>
    <n v="27343"/>
    <x v="1"/>
  </r>
  <r>
    <s v="Speed Auto Kia Pvt Ltd"/>
    <s v="Bangalore"/>
    <s v="Priya Menon"/>
    <x v="0"/>
    <s v="HTE"/>
    <s v="Diesel"/>
    <s v="Manual"/>
    <n v="3"/>
    <n v="1368096"/>
    <n v="55178"/>
    <x v="1"/>
  </r>
  <r>
    <s v="Admire Wheels  Pvt Ltd"/>
    <s v="Delhi"/>
    <s v="Anjali Das"/>
    <x v="3"/>
    <s v="GTX"/>
    <s v="Electric"/>
    <s v="Manual"/>
    <n v="2"/>
    <n v="1511190"/>
    <n v="70549"/>
    <x v="2"/>
  </r>
  <r>
    <s v="Star Kia Pvt Ltd"/>
    <s v="Pune"/>
    <s v="Neha Singh"/>
    <x v="0"/>
    <s v="HTK"/>
    <s v="Diesel"/>
    <s v="Automatic"/>
    <n v="1"/>
    <n v="1287286"/>
    <n v="14679"/>
    <x v="2"/>
  </r>
  <r>
    <s v="Royal Kia Pvt Ltd"/>
    <s v="Chennai"/>
    <s v="Vikas Rao"/>
    <x v="2"/>
    <s v="HTX"/>
    <s v="Diesel"/>
    <s v="Automatic"/>
    <n v="3"/>
    <n v="6055515"/>
    <n v="85683"/>
    <x v="1"/>
  </r>
  <r>
    <s v="Elite Kia Pvt Ltd"/>
    <s v="Hyderabad"/>
    <s v="Neha Singh"/>
    <x v="2"/>
    <s v="HTX"/>
    <s v="Electric"/>
    <s v="Manual"/>
    <n v="1"/>
    <n v="6015632"/>
    <n v="53390"/>
    <x v="0"/>
  </r>
  <r>
    <s v="Speed Auto Kia Pvt Ltd"/>
    <s v="Bangalore"/>
    <s v="Ravi Patel"/>
    <x v="1"/>
    <s v="HTK"/>
    <s v="Petrol"/>
    <s v="Automatic"/>
    <n v="2"/>
    <n v="986043"/>
    <n v="52697"/>
    <x v="0"/>
  </r>
  <r>
    <s v="Star Kia Pvt Ltd"/>
    <s v="Pune"/>
    <s v="Anjali Das"/>
    <x v="1"/>
    <s v="GTX"/>
    <s v="Petrol"/>
    <s v="Manual"/>
    <n v="2"/>
    <n v="957046"/>
    <n v="31843"/>
    <x v="2"/>
  </r>
  <r>
    <s v="Royal Kia Pvt Ltd"/>
    <s v="Chennai"/>
    <s v="Amit Sharma"/>
    <x v="2"/>
    <s v="HTX"/>
    <s v="Diesel"/>
    <s v="Manual"/>
    <n v="3"/>
    <n v="6054976"/>
    <n v="149680"/>
    <x v="2"/>
  </r>
  <r>
    <s v="Speed Auto Kia Pvt Ltd"/>
    <s v="Bangalore"/>
    <s v="Anjali Das"/>
    <x v="3"/>
    <s v="HTE"/>
    <s v="Electric"/>
    <s v="Automatic"/>
    <n v="1"/>
    <n v="1584898"/>
    <n v="64062"/>
    <x v="2"/>
  </r>
  <r>
    <s v="Star Kia Pvt Ltd"/>
    <s v="Pune"/>
    <s v="Amit Sharma"/>
    <x v="0"/>
    <s v="X-Line"/>
    <s v="Petrol"/>
    <s v="Automatic"/>
    <n v="2"/>
    <n v="1380676"/>
    <n v="50986"/>
    <x v="0"/>
  </r>
  <r>
    <s v="Royal Kia Pvt Ltd"/>
    <s v="Chennai"/>
    <s v="Anjali Das"/>
    <x v="3"/>
    <s v="GTX"/>
    <s v="Electric"/>
    <s v="Manual"/>
    <n v="1"/>
    <n v="1577064"/>
    <n v="17957"/>
    <x v="0"/>
  </r>
  <r>
    <s v="Admire Wheels  Pvt Ltd"/>
    <s v="Delhi"/>
    <s v="Neha Singh"/>
    <x v="3"/>
    <s v="X-Line"/>
    <s v="Petrol"/>
    <s v="Automatic"/>
    <n v="1"/>
    <n v="1594769"/>
    <n v="36738"/>
    <x v="1"/>
  </r>
  <r>
    <s v="Elite Kia  Pvt Ltd"/>
    <s v="Hyderabad"/>
    <s v="Priya Menon"/>
    <x v="2"/>
    <s v="HTX"/>
    <s v="Petrol"/>
    <s v="Automatic"/>
    <n v="2"/>
    <n v="6021676"/>
    <n v="104459"/>
    <x v="0"/>
  </r>
  <r>
    <s v="Elite Kia  Pvt Ltd"/>
    <s v="Hyderabad"/>
    <s v="Amit Sharma"/>
    <x v="2"/>
    <s v="HTK"/>
    <s v="Diesel"/>
    <s v="Automatic"/>
    <n v="1"/>
    <n v="6083232"/>
    <n v="147818"/>
    <x v="2"/>
  </r>
  <r>
    <s v="Royal Kia Pvt Ltd"/>
    <s v="Chennai"/>
    <s v="Vikas Rao"/>
    <x v="1"/>
    <s v="HTX"/>
    <s v="Electric"/>
    <s v="Automatic"/>
    <n v="3"/>
    <n v="928264"/>
    <n v="64884"/>
    <x v="1"/>
  </r>
  <r>
    <s v="Star Kia Pvt Ltd"/>
    <s v="Pune"/>
    <s v="Priya Menon"/>
    <x v="2"/>
    <s v="HTX"/>
    <s v="Diesel"/>
    <s v="Automatic"/>
    <n v="3"/>
    <n v="6094681"/>
    <n v="149991"/>
    <x v="1"/>
  </r>
  <r>
    <s v="Speed Auto Kia Pvt Ltd"/>
    <s v="Bangalore"/>
    <s v="Priya Menon"/>
    <x v="2"/>
    <s v="HTK"/>
    <s v="Electric"/>
    <s v="Automatic"/>
    <n v="3"/>
    <n v="5961441"/>
    <n v="91704"/>
    <x v="2"/>
  </r>
  <r>
    <s v="Kia Motors  Pvt Ltd"/>
    <s v="Mumbai"/>
    <s v="Amit Sharma"/>
    <x v="2"/>
    <s v="HTE"/>
    <s v="Diesel"/>
    <s v="Manual"/>
    <n v="2"/>
    <n v="6081672"/>
    <n v="127356"/>
    <x v="0"/>
  </r>
  <r>
    <s v="Speed Auto Kia Pvt Ltd"/>
    <s v="Bangalore"/>
    <s v="Ravi Patel"/>
    <x v="1"/>
    <s v="HTK"/>
    <s v="Diesel"/>
    <s v="Automatic"/>
    <n v="2"/>
    <n v="890464"/>
    <n v="14903"/>
    <x v="0"/>
  </r>
  <r>
    <s v="Speed Auto Kia Pvt Ltd"/>
    <s v="Bangalore"/>
    <s v="Priya Menon"/>
    <x v="3"/>
    <s v="X-Line"/>
    <s v="Electric"/>
    <s v="Manual"/>
    <n v="3"/>
    <n v="1533010"/>
    <n v="51077"/>
    <x v="0"/>
  </r>
  <r>
    <s v="Kia Motors Pvt Ltd"/>
    <s v="Mumbai"/>
    <s v="Anjali Das"/>
    <x v="0"/>
    <s v="HTX"/>
    <s v="Electric"/>
    <s v="Manual"/>
    <n v="1"/>
    <n v="1273692"/>
    <n v="38440"/>
    <x v="2"/>
  </r>
  <r>
    <s v="Admire Wheels  Pvt Ltd"/>
    <s v="Delhi"/>
    <s v="Ravi Patel"/>
    <x v="3"/>
    <s v="HTE"/>
    <s v="Diesel"/>
    <s v="Automatic"/>
    <n v="1"/>
    <n v="1535032"/>
    <n v="62176"/>
    <x v="2"/>
  </r>
  <r>
    <s v="Speed Auto Kia Pvt Ltd"/>
    <s v="Bangalore"/>
    <s v="Neha Singh"/>
    <x v="0"/>
    <s v="X-Line"/>
    <s v="Petrol"/>
    <s v="Manual"/>
    <n v="1"/>
    <n v="1398354"/>
    <n v="54682"/>
    <x v="0"/>
  </r>
  <r>
    <s v="Elite Kia Pvt Ltd"/>
    <s v="Hyderabad"/>
    <s v="Anjali Das"/>
    <x v="0"/>
    <s v="GTX"/>
    <s v="Diesel"/>
    <s v="Automatic"/>
    <n v="2"/>
    <n v="1287517"/>
    <n v="25216"/>
    <x v="2"/>
  </r>
  <r>
    <s v="Royal Kia Pvt Ltd"/>
    <s v="Chennai"/>
    <s v="Priya Menon"/>
    <x v="2"/>
    <s v="HTX"/>
    <s v="Diesel"/>
    <s v="Automatic"/>
    <n v="1"/>
    <n v="6093287"/>
    <n v="70706"/>
    <x v="0"/>
  </r>
  <r>
    <s v="Star Kia  Pvt Ltd"/>
    <s v="Pune"/>
    <s v="Amit Sharma"/>
    <x v="3"/>
    <s v="GTX"/>
    <s v="Petrol"/>
    <s v="Automatic"/>
    <n v="2"/>
    <n v="1502223"/>
    <n v="35211"/>
    <x v="0"/>
  </r>
  <r>
    <s v="Admire Wheels Pvt Ltd"/>
    <s v="Delhi"/>
    <s v="Vikas Rao"/>
    <x v="3"/>
    <s v="HTX"/>
    <s v="Electric"/>
    <s v="Manual"/>
    <n v="1"/>
    <n v="1553758"/>
    <n v="27988"/>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97E57E-D921-40AA-9409-D84EEE9C98FA}"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C78:E83" firstHeaderRow="0" firstDataRow="1" firstDataCol="1"/>
  <pivotFields count="13">
    <pivotField showAll="0">
      <items count="7">
        <item x="0"/>
        <item x="5"/>
        <item x="1"/>
        <item x="4"/>
        <item x="2"/>
        <item x="3"/>
        <item t="default"/>
      </items>
    </pivotField>
    <pivotField showAll="0"/>
    <pivotField axis="axisRow" showAll="0">
      <items count="5">
        <item x="3"/>
        <item x="2"/>
        <item x="0"/>
        <item x="1"/>
        <item t="default"/>
      </items>
    </pivotField>
    <pivotField showAll="0"/>
    <pivotField showAll="0">
      <items count="4">
        <item x="2"/>
        <item x="0"/>
        <item x="1"/>
        <item t="default"/>
      </items>
    </pivotField>
    <pivotField showAll="0"/>
    <pivotField showAll="0"/>
    <pivotField numFmtId="164" showAll="0"/>
    <pivotField numFmtId="164" showAll="0"/>
    <pivotField showAll="0"/>
    <pivotField showAll="0"/>
    <pivotField dataField="1" numFmtId="164" showAll="0"/>
    <pivotField dataField="1" numFmtId="164" showAll="0"/>
  </pivotFields>
  <rowFields count="1">
    <field x="2"/>
  </rowFields>
  <rowItems count="5">
    <i>
      <x/>
    </i>
    <i>
      <x v="1"/>
    </i>
    <i>
      <x v="2"/>
    </i>
    <i>
      <x v="3"/>
    </i>
    <i t="grand">
      <x/>
    </i>
  </rowItems>
  <colFields count="1">
    <field x="-2"/>
  </colFields>
  <colItems count="2">
    <i>
      <x/>
    </i>
    <i i="1">
      <x v="1"/>
    </i>
  </colItems>
  <dataFields count="2">
    <dataField name="Sum of Average D" fld="11" baseField="0" baseItem="0" numFmtId="164"/>
    <dataField name="Sum of S Average" fld="12" baseField="0" baseItem="0" numFmtId="164"/>
  </dataFields>
  <chartFormats count="6">
    <chartFormat chart="8" format="8"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 chart="8" format="10"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1"/>
          </reference>
        </references>
      </pivotArea>
    </chartFormat>
    <chartFormat chart="0"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FCC0D6-861A-4BA4-991E-6475B941EC2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L10:N17" firstHeaderRow="0" firstDataRow="1" firstDataCol="1"/>
  <pivotFields count="13">
    <pivotField showAll="0">
      <items count="44">
        <item x="26"/>
        <item x="2"/>
        <item x="14"/>
        <item x="40"/>
        <item x="11"/>
        <item x="8"/>
        <item x="1"/>
        <item x="7"/>
        <item x="30"/>
        <item x="28"/>
        <item x="19"/>
        <item x="15"/>
        <item x="6"/>
        <item x="5"/>
        <item x="33"/>
        <item x="4"/>
        <item x="36"/>
        <item x="29"/>
        <item x="32"/>
        <item x="38"/>
        <item x="31"/>
        <item x="23"/>
        <item x="13"/>
        <item x="24"/>
        <item x="35"/>
        <item x="16"/>
        <item x="10"/>
        <item x="18"/>
        <item x="39"/>
        <item x="12"/>
        <item x="17"/>
        <item x="37"/>
        <item x="0"/>
        <item x="21"/>
        <item x="41"/>
        <item x="9"/>
        <item x="22"/>
        <item x="20"/>
        <item x="34"/>
        <item x="3"/>
        <item x="27"/>
        <item x="42"/>
        <item x="25"/>
        <item t="default"/>
      </items>
    </pivotField>
    <pivotField showAll="0"/>
    <pivotField axis="axisRow" showAll="0">
      <items count="7">
        <item x="0"/>
        <item x="5"/>
        <item x="1"/>
        <item x="4"/>
        <item x="2"/>
        <item x="3"/>
        <item t="default"/>
      </items>
    </pivotField>
    <pivotField showAll="0"/>
    <pivotField dataField="1" showAll="0">
      <items count="5">
        <item x="3"/>
        <item x="2"/>
        <item x="0"/>
        <item x="1"/>
        <item t="default"/>
      </items>
    </pivotField>
    <pivotField showAll="0"/>
    <pivotField showAll="0"/>
    <pivotField showAll="0"/>
    <pivotField dataField="1" showAll="0"/>
    <pivotField numFmtId="164" showAll="0"/>
    <pivotField numFmtId="164" showAll="0"/>
    <pivotField showAll="0"/>
    <pivotField showAll="0"/>
  </pivotFields>
  <rowFields count="1">
    <field x="2"/>
  </rowFields>
  <rowItems count="7">
    <i>
      <x/>
    </i>
    <i>
      <x v="1"/>
    </i>
    <i>
      <x v="2"/>
    </i>
    <i>
      <x v="3"/>
    </i>
    <i>
      <x v="4"/>
    </i>
    <i>
      <x v="5"/>
    </i>
    <i t="grand">
      <x/>
    </i>
  </rowItems>
  <colFields count="1">
    <field x="-2"/>
  </colFields>
  <colItems count="2">
    <i>
      <x/>
    </i>
    <i i="1">
      <x v="1"/>
    </i>
  </colItems>
  <dataFields count="2">
    <dataField name="Count of Car Model" fld="4" subtotal="count" baseField="0" baseItem="0"/>
    <dataField name="Sum of Units Sold" fld="8" baseField="0"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42000FB-4B81-44BB-A805-F5F8F67ECE30}" name="PivotTable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90:E94" firstHeaderRow="1" firstDataRow="1" firstDataCol="1"/>
  <pivotFields count="11">
    <pivotField showAll="0"/>
    <pivotField showAll="0"/>
    <pivotField showAll="0"/>
    <pivotField dataField="1" showAll="0">
      <items count="5">
        <item x="3"/>
        <item x="2"/>
        <item x="0"/>
        <item x="1"/>
        <item t="default"/>
      </items>
    </pivotField>
    <pivotField showAll="0"/>
    <pivotField showAll="0"/>
    <pivotField showAll="0"/>
    <pivotField showAll="0"/>
    <pivotField numFmtId="164" showAll="0"/>
    <pivotField numFmtId="164" showAll="0"/>
    <pivotField axis="axisRow" showAll="0">
      <items count="4">
        <item x="1"/>
        <item x="2"/>
        <item x="0"/>
        <item t="default"/>
      </items>
    </pivotField>
  </pivotFields>
  <rowFields count="1">
    <field x="10"/>
  </rowFields>
  <rowItems count="4">
    <i>
      <x/>
    </i>
    <i>
      <x v="1"/>
    </i>
    <i>
      <x v="2"/>
    </i>
    <i t="grand">
      <x/>
    </i>
  </rowItems>
  <colItems count="1">
    <i/>
  </colItems>
  <dataFields count="1">
    <dataField name="Count of Car Model" fld="3" subtotal="count" baseField="0" baseItem="0"/>
  </dataFields>
  <chartFormats count="1">
    <chartFormat chart="7"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2A46EA1-E73C-4BF3-A55C-FB8ADAC75888}"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71:K88" firstHeaderRow="1" firstDataRow="1" firstDataCol="0"/>
  <pivotFields count="13">
    <pivotField showAll="0"/>
    <pivotField showAll="0"/>
    <pivotField showAll="0"/>
    <pivotField showAll="0"/>
    <pivotField showAll="0"/>
    <pivotField showAll="0"/>
    <pivotField showAll="0"/>
    <pivotField showAll="0"/>
    <pivotField showAll="0"/>
    <pivotField numFmtId="164" showAll="0"/>
    <pivotField numFmtId="164"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226D52B-438E-4389-9EF6-ED489327D48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H9:I16" firstHeaderRow="1" firstDataRow="1" firstDataCol="1"/>
  <pivotFields count="13">
    <pivotField showAll="0"/>
    <pivotField showAll="0"/>
    <pivotField showAll="0"/>
    <pivotField axis="axisRow" showAll="0">
      <items count="7">
        <item x="1"/>
        <item x="0"/>
        <item x="4"/>
        <item x="2"/>
        <item x="5"/>
        <item x="3"/>
        <item t="default"/>
      </items>
    </pivotField>
    <pivotField showAll="0">
      <items count="5">
        <item x="3"/>
        <item x="2"/>
        <item x="0"/>
        <item x="1"/>
        <item t="default"/>
      </items>
    </pivotField>
    <pivotField showAll="0"/>
    <pivotField showAll="0"/>
    <pivotField showAll="0"/>
    <pivotField dataField="1" showAll="0"/>
    <pivotField numFmtId="164" showAll="0"/>
    <pivotField numFmtId="164" showAll="0"/>
    <pivotField showAll="0"/>
    <pivotField showAll="0">
      <items count="101">
        <item x="65"/>
        <item x="99"/>
        <item x="0"/>
        <item x="26"/>
        <item x="29"/>
        <item x="4"/>
        <item x="7"/>
        <item x="70"/>
        <item x="48"/>
        <item x="19"/>
        <item x="91"/>
        <item x="58"/>
        <item x="87"/>
        <item x="10"/>
        <item x="88"/>
        <item x="38"/>
        <item x="41"/>
        <item x="49"/>
        <item x="36"/>
        <item x="52"/>
        <item x="18"/>
        <item x="66"/>
        <item x="90"/>
        <item x="40"/>
        <item x="9"/>
        <item x="73"/>
        <item x="75"/>
        <item x="55"/>
        <item x="24"/>
        <item x="60"/>
        <item x="78"/>
        <item x="16"/>
        <item x="94"/>
        <item x="23"/>
        <item x="83"/>
        <item x="76"/>
        <item x="6"/>
        <item x="33"/>
        <item x="96"/>
        <item x="85"/>
        <item x="61"/>
        <item x="15"/>
        <item x="28"/>
        <item x="62"/>
        <item x="22"/>
        <item x="93"/>
        <item x="45"/>
        <item x="57"/>
        <item x="30"/>
        <item x="69"/>
        <item x="5"/>
        <item x="25"/>
        <item x="46"/>
        <item x="67"/>
        <item x="82"/>
        <item x="98"/>
        <item x="56"/>
        <item x="39"/>
        <item x="13"/>
        <item x="68"/>
        <item x="37"/>
        <item x="1"/>
        <item x="92"/>
        <item x="31"/>
        <item x="79"/>
        <item x="97"/>
        <item x="44"/>
        <item x="34"/>
        <item x="64"/>
        <item x="84"/>
        <item x="21"/>
        <item x="47"/>
        <item x="2"/>
        <item x="12"/>
        <item x="35"/>
        <item x="81"/>
        <item x="72"/>
        <item x="17"/>
        <item x="14"/>
        <item x="50"/>
        <item x="59"/>
        <item x="20"/>
        <item x="95"/>
        <item x="27"/>
        <item x="51"/>
        <item x="80"/>
        <item x="63"/>
        <item x="89"/>
        <item x="3"/>
        <item x="43"/>
        <item x="77"/>
        <item x="71"/>
        <item x="53"/>
        <item x="11"/>
        <item x="86"/>
        <item x="42"/>
        <item x="54"/>
        <item x="74"/>
        <item x="8"/>
        <item x="32"/>
        <item t="default"/>
      </items>
    </pivotField>
  </pivotFields>
  <rowFields count="1">
    <field x="3"/>
  </rowFields>
  <rowItems count="7">
    <i>
      <x/>
    </i>
    <i>
      <x v="1"/>
    </i>
    <i>
      <x v="2"/>
    </i>
    <i>
      <x v="3"/>
    </i>
    <i>
      <x v="4"/>
    </i>
    <i>
      <x v="5"/>
    </i>
    <i t="grand">
      <x/>
    </i>
  </rowItems>
  <colItems count="1">
    <i/>
  </colItems>
  <dataFields count="1">
    <dataField name="Sum of Units Sold" fld="8" baseField="0" baseItem="0"/>
  </dataFields>
  <chartFormats count="9">
    <chartFormat chart="0" format="1"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2" format="4">
      <pivotArea type="data" outline="0" fieldPosition="0">
        <references count="2">
          <reference field="4294967294" count="1" selected="0">
            <x v="0"/>
          </reference>
          <reference field="3" count="1" selected="0">
            <x v="0"/>
          </reference>
        </references>
      </pivotArea>
    </chartFormat>
    <chartFormat chart="2" format="5">
      <pivotArea type="data" outline="0" fieldPosition="0">
        <references count="2">
          <reference field="4294967294" count="1" selected="0">
            <x v="0"/>
          </reference>
          <reference field="3" count="1" selected="0">
            <x v="1"/>
          </reference>
        </references>
      </pivotArea>
    </chartFormat>
    <chartFormat chart="2" format="6">
      <pivotArea type="data" outline="0" fieldPosition="0">
        <references count="2">
          <reference field="4294967294" count="1" selected="0">
            <x v="0"/>
          </reference>
          <reference field="3" count="1" selected="0">
            <x v="2"/>
          </reference>
        </references>
      </pivotArea>
    </chartFormat>
    <chartFormat chart="2" format="7">
      <pivotArea type="data" outline="0" fieldPosition="0">
        <references count="2">
          <reference field="4294967294" count="1" selected="0">
            <x v="0"/>
          </reference>
          <reference field="3" count="1" selected="0">
            <x v="3"/>
          </reference>
        </references>
      </pivotArea>
    </chartFormat>
    <chartFormat chart="2" format="8">
      <pivotArea type="data" outline="0" fieldPosition="0">
        <references count="2">
          <reference field="4294967294" count="1" selected="0">
            <x v="0"/>
          </reference>
          <reference field="3" count="1" selected="0">
            <x v="4"/>
          </reference>
        </references>
      </pivotArea>
    </chartFormat>
    <chartFormat chart="2" format="9">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282190E-879B-4B90-B026-26869D47D493}"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M72:Q78" firstHeaderRow="1" firstDataRow="2" firstDataCol="1"/>
  <pivotFields count="13">
    <pivotField showAll="0"/>
    <pivotField showAll="0"/>
    <pivotField showAll="0"/>
    <pivotField showAll="0"/>
    <pivotField axis="axisRow" showAll="0">
      <items count="5">
        <item x="3"/>
        <item x="2"/>
        <item x="0"/>
        <item x="1"/>
        <item t="default"/>
      </items>
    </pivotField>
    <pivotField showAll="0"/>
    <pivotField axis="axisCol" showAll="0">
      <items count="4">
        <item x="2"/>
        <item x="0"/>
        <item x="1"/>
        <item t="default"/>
      </items>
    </pivotField>
    <pivotField showAll="0"/>
    <pivotField dataField="1" showAll="0"/>
    <pivotField numFmtId="164" showAll="0"/>
    <pivotField numFmtId="164" showAll="0"/>
    <pivotField showAll="0"/>
    <pivotField showAll="0"/>
  </pivotFields>
  <rowFields count="1">
    <field x="4"/>
  </rowFields>
  <rowItems count="5">
    <i>
      <x/>
    </i>
    <i>
      <x v="1"/>
    </i>
    <i>
      <x v="2"/>
    </i>
    <i>
      <x v="3"/>
    </i>
    <i t="grand">
      <x/>
    </i>
  </rowItems>
  <colFields count="1">
    <field x="6"/>
  </colFields>
  <colItems count="4">
    <i>
      <x/>
    </i>
    <i>
      <x v="1"/>
    </i>
    <i>
      <x v="2"/>
    </i>
    <i t="grand">
      <x/>
    </i>
  </colItems>
  <dataFields count="1">
    <dataField name="Sum of Units Sold" fld="8" baseField="0" baseItem="0"/>
  </dataFields>
  <chartFormats count="18">
    <chartFormat chart="0"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3">
          <reference field="4294967294" count="1" selected="0">
            <x v="0"/>
          </reference>
          <reference field="4" count="1" selected="0">
            <x v="3"/>
          </reference>
          <reference field="6" count="1" selected="0">
            <x v="2"/>
          </reference>
        </references>
      </pivotArea>
    </chartFormat>
    <chartFormat chart="6" format="7">
      <pivotArea type="data" outline="0" fieldPosition="0">
        <references count="3">
          <reference field="4294967294" count="1" selected="0">
            <x v="0"/>
          </reference>
          <reference field="4" count="1" selected="0">
            <x v="2"/>
          </reference>
          <reference field="6" count="1" selected="0">
            <x v="2"/>
          </reference>
        </references>
      </pivotArea>
    </chartFormat>
    <chartFormat chart="6" format="8">
      <pivotArea type="data" outline="0" fieldPosition="0">
        <references count="3">
          <reference field="4294967294" count="1" selected="0">
            <x v="0"/>
          </reference>
          <reference field="4" count="1" selected="0">
            <x v="1"/>
          </reference>
          <reference field="6" count="1" selected="0">
            <x v="2"/>
          </reference>
        </references>
      </pivotArea>
    </chartFormat>
    <chartFormat chart="6" format="9">
      <pivotArea type="data" outline="0" fieldPosition="0">
        <references count="3">
          <reference field="4294967294" count="1" selected="0">
            <x v="0"/>
          </reference>
          <reference field="4" count="1" selected="0">
            <x v="0"/>
          </reference>
          <reference field="6" count="1" selected="0">
            <x v="2"/>
          </reference>
        </references>
      </pivotArea>
    </chartFormat>
    <chartFormat chart="6" format="10">
      <pivotArea type="data" outline="0" fieldPosition="0">
        <references count="3">
          <reference field="4294967294" count="1" selected="0">
            <x v="0"/>
          </reference>
          <reference field="4" count="1" selected="0">
            <x v="3"/>
          </reference>
          <reference field="6" count="1" selected="0">
            <x v="1"/>
          </reference>
        </references>
      </pivotArea>
    </chartFormat>
    <chartFormat chart="6" format="11">
      <pivotArea type="data" outline="0" fieldPosition="0">
        <references count="3">
          <reference field="4294967294" count="1" selected="0">
            <x v="0"/>
          </reference>
          <reference field="4" count="1" selected="0">
            <x v="0"/>
          </reference>
          <reference field="6" count="1" selected="0">
            <x v="1"/>
          </reference>
        </references>
      </pivotArea>
    </chartFormat>
    <chartFormat chart="6" format="12">
      <pivotArea type="data" outline="0" fieldPosition="0">
        <references count="3">
          <reference field="4294967294" count="1" selected="0">
            <x v="0"/>
          </reference>
          <reference field="4" count="1" selected="0">
            <x v="1"/>
          </reference>
          <reference field="6" count="1" selected="0">
            <x v="0"/>
          </reference>
        </references>
      </pivotArea>
    </chartFormat>
    <chartFormat chart="6" format="13">
      <pivotArea type="data" outline="0" fieldPosition="0">
        <references count="3">
          <reference field="4294967294" count="1" selected="0">
            <x v="0"/>
          </reference>
          <reference field="4" count="1" selected="0">
            <x v="2"/>
          </reference>
          <reference field="6" count="1" selected="0">
            <x v="0"/>
          </reference>
        </references>
      </pivotArea>
    </chartFormat>
    <chartFormat chart="6" format="14">
      <pivotArea type="data" outline="0" fieldPosition="0">
        <references count="3">
          <reference field="4294967294" count="1" selected="0">
            <x v="0"/>
          </reference>
          <reference field="4" count="1" selected="0">
            <x v="3"/>
          </reference>
          <reference field="6" count="1" selected="0">
            <x v="0"/>
          </reference>
        </references>
      </pivotArea>
    </chartFormat>
    <chartFormat chart="6" format="15">
      <pivotArea type="data" outline="0" fieldPosition="0">
        <references count="3">
          <reference field="4294967294" count="1" selected="0">
            <x v="0"/>
          </reference>
          <reference field="4" count="1" selected="0">
            <x v="1"/>
          </reference>
          <reference field="6" count="1" selected="0">
            <x v="1"/>
          </reference>
        </references>
      </pivotArea>
    </chartFormat>
    <chartFormat chart="6" format="16">
      <pivotArea type="data" outline="0" fieldPosition="0">
        <references count="3">
          <reference field="4294967294" count="1" selected="0">
            <x v="0"/>
          </reference>
          <reference field="4" count="1" selected="0">
            <x v="2"/>
          </reference>
          <reference field="6" count="1" selected="0">
            <x v="1"/>
          </reference>
        </references>
      </pivotArea>
    </chartFormat>
    <chartFormat chart="6" format="17">
      <pivotArea type="data" outline="0" fieldPosition="0">
        <references count="3">
          <reference field="4294967294" count="1" selected="0">
            <x v="0"/>
          </reference>
          <reference field="4" count="1" selected="0">
            <x v="0"/>
          </reference>
          <reference field="6" count="1" selected="0">
            <x v="0"/>
          </reference>
        </references>
      </pivotArea>
    </chartFormat>
    <chartFormat chart="6" format="18" series="1">
      <pivotArea type="data" outline="0" fieldPosition="0">
        <references count="2">
          <reference field="4294967294" count="1" selected="0">
            <x v="0"/>
          </reference>
          <reference field="6" count="1" selected="0">
            <x v="1"/>
          </reference>
        </references>
      </pivotArea>
    </chartFormat>
    <chartFormat chart="6" format="19" series="1">
      <pivotArea type="data" outline="0" fieldPosition="0">
        <references count="2">
          <reference field="4294967294" count="1" selected="0">
            <x v="0"/>
          </reference>
          <reference field="6" count="1" selected="0">
            <x v="2"/>
          </reference>
        </references>
      </pivotArea>
    </chartFormat>
    <chartFormat chart="6" format="20" series="1">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96BA8FF-997A-47BA-8B0B-3F88A80349E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C5:D10" firstHeaderRow="1" firstDataRow="1" firstDataCol="1"/>
  <pivotFields count="13">
    <pivotField showAll="0"/>
    <pivotField showAll="0"/>
    <pivotField showAll="0"/>
    <pivotField showAll="0"/>
    <pivotField axis="axisRow" showAll="0">
      <items count="5">
        <item x="3"/>
        <item x="2"/>
        <item x="0"/>
        <item x="1"/>
        <item t="default"/>
      </items>
    </pivotField>
    <pivotField showAll="0"/>
    <pivotField showAll="0">
      <items count="4">
        <item x="2"/>
        <item x="0"/>
        <item x="1"/>
        <item t="default"/>
      </items>
    </pivotField>
    <pivotField showAll="0"/>
    <pivotField showAll="0"/>
    <pivotField dataField="1" numFmtId="164" showAll="0"/>
    <pivotField numFmtId="164" showAll="0"/>
    <pivotField showAll="0">
      <items count="4">
        <item x="1"/>
        <item x="2"/>
        <item x="0"/>
        <item t="default"/>
      </items>
    </pivotField>
    <pivotField showAll="0"/>
  </pivotFields>
  <rowFields count="1">
    <field x="4"/>
  </rowFields>
  <rowItems count="5">
    <i>
      <x/>
    </i>
    <i>
      <x v="1"/>
    </i>
    <i>
      <x v="2"/>
    </i>
    <i>
      <x v="3"/>
    </i>
    <i t="grand">
      <x/>
    </i>
  </rowItems>
  <colItems count="1">
    <i/>
  </colItems>
  <dataFields count="1">
    <dataField name="Sum of Sale Price (₹)" fld="9"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_Model" xr10:uid="{35047A11-4717-4882-B14B-47D96D3B6C40}" sourceName="Car Model">
  <pivotTables>
    <pivotTable tabId="2" name="PivotTable1"/>
    <pivotTable tabId="2" name="PivotTable3"/>
    <pivotTable tabId="2" name="PivotTable2"/>
  </pivotTables>
  <data>
    <tabular pivotCacheId="1214207472">
      <items count="4">
        <i x="3"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r Model" xr10:uid="{C5398F9F-769C-48F6-8358-AD6AAC932553}" cache="Slicer_Car_Model" caption="Car Model" style="SlicerStyleDark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5A212D-653A-4094-8ECA-CB4E4752A0F0}" name="Table1" displayName="Table1" ref="A1:O101" totalsRowShown="0" headerRowBorderDxfId="17" tableBorderDxfId="16" totalsRowBorderDxfId="15">
  <autoFilter ref="A1:O101" xr:uid="{D05A212D-653A-4094-8ECA-CB4E4752A0F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99E4742B-3082-4BDA-8081-85182CF947A5}" name="Date of Sale" dataDxfId="14"/>
    <tableColumn id="2" xr3:uid="{D7782EF2-93E3-4E26-A68A-0A447D1B6737}" name="Delearship Name" dataDxfId="13"/>
    <tableColumn id="3" xr3:uid="{31AD5855-8730-42E7-8FB7-B13C6C2E5050}" name="City" dataDxfId="12"/>
    <tableColumn id="4" xr3:uid="{A87B103A-B753-4AB3-8710-06724F767EC4}" name="Salesperson" dataDxfId="11"/>
    <tableColumn id="5" xr3:uid="{79BC9D65-F5C8-4E69-AA55-F624BE4C0CD7}" name="Car Model" dataDxfId="10"/>
    <tableColumn id="6" xr3:uid="{C278C9EE-9D28-4B44-9E2C-79B7DA4A1257}" name="Variant" dataDxfId="9"/>
    <tableColumn id="7" xr3:uid="{F9083861-5927-46BA-BC2E-23E4E5CAE594}" name="Fuel Type" dataDxfId="8"/>
    <tableColumn id="8" xr3:uid="{9D159EC4-2B37-45BA-8F0C-174B2F3BE1E5}" name="Transmission" dataDxfId="7"/>
    <tableColumn id="9" xr3:uid="{85A78AE8-CA9E-4759-9225-BD30B67FCE4F}" name="Units Sold" dataDxfId="6"/>
    <tableColumn id="10" xr3:uid="{2CDE54AE-4A28-45DF-8819-31B5F0254B10}" name="Sale Price (₹)" dataDxfId="5"/>
    <tableColumn id="11" xr3:uid="{A065BB0E-5E55-4026-8526-835CA868C782}" name="Discount (₹)" dataDxfId="4"/>
    <tableColumn id="12" xr3:uid="{A605B57F-4544-4C2F-A080-26CBE301902B}" name="Payment Mode" dataDxfId="3"/>
    <tableColumn id="13" xr3:uid="{64427795-FA0B-4D64-A82A-E2C225B05A41}" name="Customer Name" dataDxfId="2"/>
    <tableColumn id="14" xr3:uid="{F99028F7-B23B-422F-A06D-79CCBF936089}" name="Average D" dataDxfId="1">
      <calculatedColumnFormula>AVERAGE(K1:K101)</calculatedColumnFormula>
    </tableColumn>
    <tableColumn id="15" xr3:uid="{1D7E0056-F91B-46D8-A33D-BFEB836E9217}" name="S Average" dataDxfId="0">
      <calculatedColumnFormula>AVERAGE(J1:J101)</calculatedColumnFormula>
    </tableColumn>
  </tableColumns>
  <tableStyleInfo name="TableStyleLight1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O101"/>
  <sheetViews>
    <sheetView topLeftCell="A16" workbookViewId="0">
      <selection activeCell="J8" sqref="J8"/>
    </sheetView>
  </sheetViews>
  <sheetFormatPr defaultRowHeight="14.4" x14ac:dyDescent="0.3"/>
  <cols>
    <col min="1" max="1" width="13.33203125" style="9" customWidth="1"/>
    <col min="2" max="2" width="25.21875" customWidth="1"/>
    <col min="3" max="3" width="9.77734375" bestFit="1" customWidth="1"/>
    <col min="4" max="4" width="13" customWidth="1"/>
    <col min="5" max="5" width="12.21875" customWidth="1"/>
    <col min="6" max="6" width="9.44140625" customWidth="1"/>
    <col min="7" max="7" width="11.33203125" customWidth="1"/>
    <col min="8" max="8" width="14.33203125" customWidth="1"/>
    <col min="9" max="9" width="11.88671875" customWidth="1"/>
    <col min="10" max="10" width="15.33203125" style="1" customWidth="1"/>
    <col min="11" max="11" width="12.6640625" style="2" bestFit="1" customWidth="1"/>
    <col min="12" max="12" width="18.33203125" style="4" bestFit="1" customWidth="1"/>
    <col min="13" max="13" width="19.5546875" style="3" customWidth="1"/>
    <col min="14" max="14" width="10.33203125" bestFit="1" customWidth="1"/>
    <col min="15" max="15" width="12.77734375" bestFit="1" customWidth="1"/>
  </cols>
  <sheetData>
    <row r="1" spans="1:15" x14ac:dyDescent="0.3">
      <c r="A1" s="12" t="s">
        <v>0</v>
      </c>
      <c r="B1" s="13" t="s">
        <v>195</v>
      </c>
      <c r="C1" s="13" t="s">
        <v>1</v>
      </c>
      <c r="D1" s="13" t="s">
        <v>2</v>
      </c>
      <c r="E1" s="13" t="s">
        <v>3</v>
      </c>
      <c r="F1" s="13" t="s">
        <v>4</v>
      </c>
      <c r="G1" s="13" t="s">
        <v>5</v>
      </c>
      <c r="H1" s="13" t="s">
        <v>6</v>
      </c>
      <c r="I1" s="13" t="s">
        <v>7</v>
      </c>
      <c r="J1" s="14" t="s">
        <v>8</v>
      </c>
      <c r="K1" s="15" t="s">
        <v>9</v>
      </c>
      <c r="L1" s="16" t="s">
        <v>10</v>
      </c>
      <c r="M1" s="17" t="s">
        <v>11</v>
      </c>
      <c r="N1" s="26" t="s">
        <v>201</v>
      </c>
      <c r="O1" s="26" t="s">
        <v>202</v>
      </c>
    </row>
    <row r="2" spans="1:15" x14ac:dyDescent="0.3">
      <c r="A2" s="10" t="s">
        <v>12</v>
      </c>
      <c r="B2" s="5" t="s">
        <v>184</v>
      </c>
      <c r="C2" s="5" t="s">
        <v>55</v>
      </c>
      <c r="D2" s="5" t="s">
        <v>61</v>
      </c>
      <c r="E2" s="5" t="s">
        <v>67</v>
      </c>
      <c r="F2" s="5" t="s">
        <v>71</v>
      </c>
      <c r="G2" s="5" t="s">
        <v>76</v>
      </c>
      <c r="H2" s="5" t="s">
        <v>79</v>
      </c>
      <c r="I2" s="5">
        <v>3</v>
      </c>
      <c r="J2" s="6">
        <v>1349471</v>
      </c>
      <c r="K2" s="7">
        <v>27691</v>
      </c>
      <c r="L2" s="8" t="s">
        <v>81</v>
      </c>
      <c r="M2" s="11" t="s">
        <v>84</v>
      </c>
      <c r="N2" s="2">
        <f t="shared" ref="N2:N33" si="0">AVERAGE(K1:K101)</f>
        <v>56502.66</v>
      </c>
      <c r="O2" s="2">
        <f t="shared" ref="O2:O33" si="1">AVERAGE(J1:J101)</f>
        <v>2566048.3199999998</v>
      </c>
    </row>
    <row r="3" spans="1:15" x14ac:dyDescent="0.3">
      <c r="A3" s="10" t="s">
        <v>13</v>
      </c>
      <c r="B3" s="5" t="s">
        <v>185</v>
      </c>
      <c r="C3" s="5" t="s">
        <v>56</v>
      </c>
      <c r="D3" s="5" t="s">
        <v>62</v>
      </c>
      <c r="E3" s="5" t="s">
        <v>68</v>
      </c>
      <c r="F3" s="5" t="s">
        <v>71</v>
      </c>
      <c r="G3" s="5" t="s">
        <v>77</v>
      </c>
      <c r="H3" s="5" t="s">
        <v>80</v>
      </c>
      <c r="I3" s="5">
        <v>2</v>
      </c>
      <c r="J3" s="6">
        <v>932694</v>
      </c>
      <c r="K3" s="7">
        <v>36290</v>
      </c>
      <c r="L3" s="8" t="s">
        <v>82</v>
      </c>
      <c r="M3" s="11" t="s">
        <v>85</v>
      </c>
      <c r="N3" s="2">
        <f t="shared" si="0"/>
        <v>56502.66</v>
      </c>
      <c r="O3" s="2">
        <f t="shared" si="1"/>
        <v>2566048.3199999998</v>
      </c>
    </row>
    <row r="4" spans="1:15" x14ac:dyDescent="0.3">
      <c r="A4" s="10" t="s">
        <v>14</v>
      </c>
      <c r="B4" s="5" t="s">
        <v>186</v>
      </c>
      <c r="C4" s="5" t="s">
        <v>57</v>
      </c>
      <c r="D4" s="5" t="s">
        <v>61</v>
      </c>
      <c r="E4" s="5" t="s">
        <v>69</v>
      </c>
      <c r="F4" s="5" t="s">
        <v>72</v>
      </c>
      <c r="G4" s="5" t="s">
        <v>76</v>
      </c>
      <c r="H4" s="5" t="s">
        <v>80</v>
      </c>
      <c r="I4" s="5">
        <v>1</v>
      </c>
      <c r="J4" s="6">
        <v>6019436</v>
      </c>
      <c r="K4" s="7">
        <v>68301</v>
      </c>
      <c r="L4" s="8" t="s">
        <v>81</v>
      </c>
      <c r="M4" s="11" t="s">
        <v>86</v>
      </c>
      <c r="N4" s="2">
        <f t="shared" si="0"/>
        <v>56793.686868686869</v>
      </c>
      <c r="O4" s="2">
        <f t="shared" si="1"/>
        <v>2578336.9797979798</v>
      </c>
    </row>
    <row r="5" spans="1:15" x14ac:dyDescent="0.3">
      <c r="A5" s="10" t="s">
        <v>15</v>
      </c>
      <c r="B5" s="5" t="s">
        <v>186</v>
      </c>
      <c r="C5" s="5" t="s">
        <v>57</v>
      </c>
      <c r="D5" s="5" t="s">
        <v>62</v>
      </c>
      <c r="E5" s="5" t="s">
        <v>69</v>
      </c>
      <c r="F5" s="5" t="s">
        <v>73</v>
      </c>
      <c r="G5" s="5" t="s">
        <v>77</v>
      </c>
      <c r="H5" s="5" t="s">
        <v>79</v>
      </c>
      <c r="I5" s="5">
        <v>2</v>
      </c>
      <c r="J5" s="6">
        <v>5986262</v>
      </c>
      <c r="K5" s="7">
        <v>116784</v>
      </c>
      <c r="L5" s="8" t="s">
        <v>82</v>
      </c>
      <c r="M5" s="11" t="s">
        <v>87</v>
      </c>
      <c r="N5" s="2">
        <f t="shared" si="0"/>
        <v>57002.908163265303</v>
      </c>
      <c r="O5" s="2">
        <f t="shared" si="1"/>
        <v>2595129.2551020407</v>
      </c>
    </row>
    <row r="6" spans="1:15" x14ac:dyDescent="0.3">
      <c r="A6" s="10" t="s">
        <v>16</v>
      </c>
      <c r="B6" s="5" t="s">
        <v>187</v>
      </c>
      <c r="C6" s="5" t="s">
        <v>56</v>
      </c>
      <c r="D6" s="5" t="s">
        <v>63</v>
      </c>
      <c r="E6" s="5" t="s">
        <v>69</v>
      </c>
      <c r="F6" s="5" t="s">
        <v>74</v>
      </c>
      <c r="G6" s="5" t="s">
        <v>76</v>
      </c>
      <c r="H6" s="5" t="s">
        <v>80</v>
      </c>
      <c r="I6" s="5">
        <v>3</v>
      </c>
      <c r="J6" s="6">
        <v>6050864</v>
      </c>
      <c r="K6" s="7">
        <v>100019</v>
      </c>
      <c r="L6" s="8" t="s">
        <v>81</v>
      </c>
      <c r="M6" s="11" t="s">
        <v>88</v>
      </c>
      <c r="N6" s="2">
        <f t="shared" si="0"/>
        <v>56886.432989690722</v>
      </c>
      <c r="O6" s="2">
        <f t="shared" si="1"/>
        <v>2559827.1237113401</v>
      </c>
    </row>
    <row r="7" spans="1:15" x14ac:dyDescent="0.3">
      <c r="A7" s="10" t="s">
        <v>17</v>
      </c>
      <c r="B7" s="5" t="s">
        <v>188</v>
      </c>
      <c r="C7" s="5" t="s">
        <v>58</v>
      </c>
      <c r="D7" s="5" t="s">
        <v>63</v>
      </c>
      <c r="E7" s="5" t="s">
        <v>68</v>
      </c>
      <c r="F7" s="5" t="s">
        <v>74</v>
      </c>
      <c r="G7" s="5" t="s">
        <v>77</v>
      </c>
      <c r="H7" s="5" t="s">
        <v>80</v>
      </c>
      <c r="I7" s="5">
        <v>2</v>
      </c>
      <c r="J7" s="6">
        <v>1939174</v>
      </c>
      <c r="K7" s="7">
        <v>17310</v>
      </c>
      <c r="L7" s="8" t="s">
        <v>82</v>
      </c>
      <c r="M7" s="11" t="s">
        <v>89</v>
      </c>
      <c r="N7" s="2">
        <f t="shared" si="0"/>
        <v>56262.5</v>
      </c>
      <c r="O7" s="2">
        <f t="shared" si="1"/>
        <v>2524135.09375</v>
      </c>
    </row>
    <row r="8" spans="1:15" x14ac:dyDescent="0.3">
      <c r="A8" s="10" t="s">
        <v>18</v>
      </c>
      <c r="B8" s="5" t="s">
        <v>185</v>
      </c>
      <c r="C8" s="5" t="s">
        <v>56</v>
      </c>
      <c r="D8" s="5" t="s">
        <v>64</v>
      </c>
      <c r="E8" s="5" t="s">
        <v>67</v>
      </c>
      <c r="F8" s="5" t="s">
        <v>74</v>
      </c>
      <c r="G8" s="5" t="s">
        <v>76</v>
      </c>
      <c r="H8" s="5" t="s">
        <v>79</v>
      </c>
      <c r="I8" s="5">
        <v>3</v>
      </c>
      <c r="J8" s="6">
        <v>1328235</v>
      </c>
      <c r="K8" s="7">
        <v>65159</v>
      </c>
      <c r="L8" s="8" t="s">
        <v>82</v>
      </c>
      <c r="M8" s="11" t="s">
        <v>90</v>
      </c>
      <c r="N8" s="2">
        <f t="shared" si="0"/>
        <v>55801.905263157896</v>
      </c>
      <c r="O8" s="2">
        <f t="shared" si="1"/>
        <v>2487011.6315789474</v>
      </c>
    </row>
    <row r="9" spans="1:15" x14ac:dyDescent="0.3">
      <c r="A9" s="10" t="s">
        <v>19</v>
      </c>
      <c r="B9" s="5" t="s">
        <v>189</v>
      </c>
      <c r="C9" s="5" t="s">
        <v>59</v>
      </c>
      <c r="D9" s="5" t="s">
        <v>63</v>
      </c>
      <c r="E9" s="5" t="s">
        <v>67</v>
      </c>
      <c r="F9" s="5" t="s">
        <v>74</v>
      </c>
      <c r="G9" s="5" t="s">
        <v>77</v>
      </c>
      <c r="H9" s="5" t="s">
        <v>79</v>
      </c>
      <c r="I9" s="5">
        <v>2</v>
      </c>
      <c r="J9" s="6">
        <v>1250149</v>
      </c>
      <c r="K9" s="7">
        <v>49252</v>
      </c>
      <c r="L9" s="8" t="s">
        <v>83</v>
      </c>
      <c r="M9" s="11" t="s">
        <v>91</v>
      </c>
      <c r="N9" s="2">
        <f t="shared" si="0"/>
        <v>56211.393617021276</v>
      </c>
      <c r="O9" s="2">
        <f t="shared" si="1"/>
        <v>2492839.6914893617</v>
      </c>
    </row>
    <row r="10" spans="1:15" x14ac:dyDescent="0.3">
      <c r="A10" s="10" t="s">
        <v>15</v>
      </c>
      <c r="B10" s="5" t="s">
        <v>186</v>
      </c>
      <c r="C10" s="5" t="s">
        <v>57</v>
      </c>
      <c r="D10" s="5" t="s">
        <v>62</v>
      </c>
      <c r="E10" s="5" t="s">
        <v>67</v>
      </c>
      <c r="F10" s="5" t="s">
        <v>75</v>
      </c>
      <c r="G10" s="5" t="s">
        <v>76</v>
      </c>
      <c r="H10" s="5" t="s">
        <v>80</v>
      </c>
      <c r="I10" s="5">
        <v>1</v>
      </c>
      <c r="J10" s="6">
        <v>1398729</v>
      </c>
      <c r="K10" s="7">
        <v>72059</v>
      </c>
      <c r="L10" s="8" t="s">
        <v>82</v>
      </c>
      <c r="M10" s="11" t="s">
        <v>92</v>
      </c>
      <c r="N10" s="2">
        <f t="shared" si="0"/>
        <v>56115.182795698922</v>
      </c>
      <c r="O10" s="2">
        <f t="shared" si="1"/>
        <v>2505362.3225806453</v>
      </c>
    </row>
    <row r="11" spans="1:15" x14ac:dyDescent="0.3">
      <c r="A11" s="10" t="s">
        <v>20</v>
      </c>
      <c r="B11" s="5" t="s">
        <v>189</v>
      </c>
      <c r="C11" s="5" t="s">
        <v>59</v>
      </c>
      <c r="D11" s="5" t="s">
        <v>64</v>
      </c>
      <c r="E11" s="5" t="s">
        <v>67</v>
      </c>
      <c r="F11" s="5" t="s">
        <v>72</v>
      </c>
      <c r="G11" s="5" t="s">
        <v>78</v>
      </c>
      <c r="H11" s="5" t="s">
        <v>79</v>
      </c>
      <c r="I11" s="5">
        <v>3</v>
      </c>
      <c r="J11" s="6">
        <v>1293287</v>
      </c>
      <c r="K11" s="7">
        <v>27370</v>
      </c>
      <c r="L11" s="8" t="s">
        <v>81</v>
      </c>
      <c r="M11" s="11" t="s">
        <v>93</v>
      </c>
      <c r="N11" s="2">
        <f t="shared" si="0"/>
        <v>56189.782608695656</v>
      </c>
      <c r="O11" s="2">
        <f t="shared" si="1"/>
        <v>2519005.9456521738</v>
      </c>
    </row>
    <row r="12" spans="1:15" x14ac:dyDescent="0.3">
      <c r="A12" s="10" t="s">
        <v>21</v>
      </c>
      <c r="B12" s="5" t="s">
        <v>190</v>
      </c>
      <c r="C12" s="5" t="s">
        <v>60</v>
      </c>
      <c r="D12" s="5" t="s">
        <v>63</v>
      </c>
      <c r="E12" s="5" t="s">
        <v>70</v>
      </c>
      <c r="F12" s="5" t="s">
        <v>72</v>
      </c>
      <c r="G12" s="5" t="s">
        <v>77</v>
      </c>
      <c r="H12" s="5" t="s">
        <v>79</v>
      </c>
      <c r="I12" s="5">
        <v>3</v>
      </c>
      <c r="J12" s="6">
        <v>1547889</v>
      </c>
      <c r="K12" s="7">
        <v>38711</v>
      </c>
      <c r="L12" s="8" t="s">
        <v>82</v>
      </c>
      <c r="M12" s="11" t="s">
        <v>94</v>
      </c>
      <c r="N12" s="2">
        <f t="shared" si="0"/>
        <v>56015.395604395606</v>
      </c>
      <c r="O12" s="2">
        <f t="shared" si="1"/>
        <v>2531316.6813186812</v>
      </c>
    </row>
    <row r="13" spans="1:15" x14ac:dyDescent="0.3">
      <c r="A13" s="10" t="s">
        <v>15</v>
      </c>
      <c r="B13" s="5" t="s">
        <v>189</v>
      </c>
      <c r="C13" s="5" t="s">
        <v>59</v>
      </c>
      <c r="D13" s="5" t="s">
        <v>65</v>
      </c>
      <c r="E13" s="5" t="s">
        <v>70</v>
      </c>
      <c r="F13" s="5" t="s">
        <v>75</v>
      </c>
      <c r="G13" s="5" t="s">
        <v>77</v>
      </c>
      <c r="H13" s="5" t="s">
        <v>79</v>
      </c>
      <c r="I13" s="5">
        <v>3</v>
      </c>
      <c r="J13" s="6">
        <v>1595207</v>
      </c>
      <c r="K13" s="7">
        <v>25080</v>
      </c>
      <c r="L13" s="8" t="s">
        <v>81</v>
      </c>
      <c r="M13" s="11" t="s">
        <v>95</v>
      </c>
      <c r="N13" s="2">
        <f t="shared" si="0"/>
        <v>56333.677777777775</v>
      </c>
      <c r="O13" s="2">
        <f t="shared" si="1"/>
        <v>2545072.5666666669</v>
      </c>
    </row>
    <row r="14" spans="1:15" x14ac:dyDescent="0.3">
      <c r="A14" s="10" t="s">
        <v>22</v>
      </c>
      <c r="B14" s="5" t="s">
        <v>185</v>
      </c>
      <c r="C14" s="5" t="s">
        <v>56</v>
      </c>
      <c r="D14" s="5" t="s">
        <v>65</v>
      </c>
      <c r="E14" s="5" t="s">
        <v>67</v>
      </c>
      <c r="F14" s="5" t="s">
        <v>75</v>
      </c>
      <c r="G14" s="5" t="s">
        <v>78</v>
      </c>
      <c r="H14" s="5" t="s">
        <v>80</v>
      </c>
      <c r="I14" s="5">
        <v>3</v>
      </c>
      <c r="J14" s="6">
        <v>1336619</v>
      </c>
      <c r="K14" s="7">
        <v>14643</v>
      </c>
      <c r="L14" s="8" t="s">
        <v>82</v>
      </c>
      <c r="M14" s="11" t="s">
        <v>96</v>
      </c>
      <c r="N14" s="2">
        <f t="shared" si="0"/>
        <v>56531.685393258427</v>
      </c>
      <c r="O14" s="2">
        <f t="shared" si="1"/>
        <v>2556276.8764044945</v>
      </c>
    </row>
    <row r="15" spans="1:15" x14ac:dyDescent="0.3">
      <c r="A15" s="10" t="s">
        <v>23</v>
      </c>
      <c r="B15" s="5" t="s">
        <v>184</v>
      </c>
      <c r="C15" s="5" t="s">
        <v>55</v>
      </c>
      <c r="D15" s="5" t="s">
        <v>62</v>
      </c>
      <c r="E15" s="5" t="s">
        <v>69</v>
      </c>
      <c r="F15" s="5" t="s">
        <v>71</v>
      </c>
      <c r="G15" s="5" t="s">
        <v>76</v>
      </c>
      <c r="H15" s="5" t="s">
        <v>80</v>
      </c>
      <c r="I15" s="5">
        <v>1</v>
      </c>
      <c r="J15" s="6">
        <v>6056708</v>
      </c>
      <c r="K15" s="7">
        <v>74957</v>
      </c>
      <c r="L15" s="8" t="s">
        <v>83</v>
      </c>
      <c r="M15" s="11" t="s">
        <v>97</v>
      </c>
      <c r="N15" s="2">
        <f t="shared" si="0"/>
        <v>56889.090909090912</v>
      </c>
      <c r="O15" s="2">
        <f t="shared" si="1"/>
        <v>2567198.125</v>
      </c>
    </row>
    <row r="16" spans="1:15" x14ac:dyDescent="0.3">
      <c r="A16" s="10" t="s">
        <v>24</v>
      </c>
      <c r="B16" s="5" t="s">
        <v>190</v>
      </c>
      <c r="C16" s="5" t="s">
        <v>60</v>
      </c>
      <c r="D16" s="5" t="s">
        <v>61</v>
      </c>
      <c r="E16" s="5" t="s">
        <v>69</v>
      </c>
      <c r="F16" s="5" t="s">
        <v>72</v>
      </c>
      <c r="G16" s="5" t="s">
        <v>77</v>
      </c>
      <c r="H16" s="5" t="s">
        <v>79</v>
      </c>
      <c r="I16" s="5">
        <v>3</v>
      </c>
      <c r="J16" s="6">
        <v>5964200</v>
      </c>
      <c r="K16" s="7">
        <v>138259</v>
      </c>
      <c r="L16" s="8" t="s">
        <v>83</v>
      </c>
      <c r="M16" s="11" t="s">
        <v>98</v>
      </c>
      <c r="N16" s="2">
        <f t="shared" si="0"/>
        <v>57374.678160919539</v>
      </c>
      <c r="O16" s="2">
        <f t="shared" si="1"/>
        <v>2581342.7126436783</v>
      </c>
    </row>
    <row r="17" spans="1:15" x14ac:dyDescent="0.3">
      <c r="A17" s="10" t="s">
        <v>25</v>
      </c>
      <c r="B17" s="5" t="s">
        <v>186</v>
      </c>
      <c r="C17" s="5" t="s">
        <v>57</v>
      </c>
      <c r="D17" s="5" t="s">
        <v>65</v>
      </c>
      <c r="E17" s="5" t="s">
        <v>68</v>
      </c>
      <c r="F17" s="5" t="s">
        <v>71</v>
      </c>
      <c r="G17" s="5" t="s">
        <v>78</v>
      </c>
      <c r="H17" s="5" t="s">
        <v>79</v>
      </c>
      <c r="I17" s="5">
        <v>2</v>
      </c>
      <c r="J17" s="6">
        <v>899862</v>
      </c>
      <c r="K17" s="7">
        <v>45146</v>
      </c>
      <c r="L17" s="8" t="s">
        <v>83</v>
      </c>
      <c r="M17" s="11" t="s">
        <v>99</v>
      </c>
      <c r="N17" s="2">
        <f t="shared" si="0"/>
        <v>57170.232558139534</v>
      </c>
      <c r="O17" s="2">
        <f t="shared" si="1"/>
        <v>2540931.4883720931</v>
      </c>
    </row>
    <row r="18" spans="1:15" x14ac:dyDescent="0.3">
      <c r="A18" s="10" t="s">
        <v>26</v>
      </c>
      <c r="B18" s="5" t="s">
        <v>184</v>
      </c>
      <c r="C18" s="5" t="s">
        <v>55</v>
      </c>
      <c r="D18" s="5" t="s">
        <v>61</v>
      </c>
      <c r="E18" s="5" t="s">
        <v>67</v>
      </c>
      <c r="F18" s="5" t="s">
        <v>75</v>
      </c>
      <c r="G18" s="5" t="s">
        <v>76</v>
      </c>
      <c r="H18" s="5" t="s">
        <v>79</v>
      </c>
      <c r="I18" s="5">
        <v>1</v>
      </c>
      <c r="J18" s="6">
        <v>1394264</v>
      </c>
      <c r="K18" s="7">
        <v>16416</v>
      </c>
      <c r="L18" s="8" t="s">
        <v>82</v>
      </c>
      <c r="M18" s="11" t="s">
        <v>100</v>
      </c>
      <c r="N18" s="2">
        <f t="shared" si="0"/>
        <v>56216.24705882353</v>
      </c>
      <c r="O18" s="2">
        <f t="shared" si="1"/>
        <v>2500657.7411764706</v>
      </c>
    </row>
    <row r="19" spans="1:15" x14ac:dyDescent="0.3">
      <c r="A19" s="10" t="s">
        <v>14</v>
      </c>
      <c r="B19" s="5" t="s">
        <v>184</v>
      </c>
      <c r="C19" s="5" t="s">
        <v>55</v>
      </c>
      <c r="D19" s="5" t="s">
        <v>62</v>
      </c>
      <c r="E19" s="5" t="s">
        <v>67</v>
      </c>
      <c r="F19" s="5" t="s">
        <v>72</v>
      </c>
      <c r="G19" s="5" t="s">
        <v>77</v>
      </c>
      <c r="H19" s="5" t="s">
        <v>80</v>
      </c>
      <c r="I19" s="5">
        <v>2</v>
      </c>
      <c r="J19" s="6">
        <v>1376185</v>
      </c>
      <c r="K19" s="7">
        <v>24008</v>
      </c>
      <c r="L19" s="8" t="s">
        <v>82</v>
      </c>
      <c r="M19" s="11" t="s">
        <v>101</v>
      </c>
      <c r="N19" s="2">
        <f t="shared" si="0"/>
        <v>56348.035714285717</v>
      </c>
      <c r="O19" s="2">
        <f t="shared" si="1"/>
        <v>2519714.8333333335</v>
      </c>
    </row>
    <row r="20" spans="1:15" x14ac:dyDescent="0.3">
      <c r="A20" s="10" t="s">
        <v>23</v>
      </c>
      <c r="B20" s="5" t="s">
        <v>188</v>
      </c>
      <c r="C20" s="5" t="s">
        <v>58</v>
      </c>
      <c r="D20" s="5" t="s">
        <v>64</v>
      </c>
      <c r="E20" s="5" t="s">
        <v>70</v>
      </c>
      <c r="F20" s="5" t="s">
        <v>72</v>
      </c>
      <c r="G20" s="5" t="s">
        <v>76</v>
      </c>
      <c r="H20" s="5" t="s">
        <v>80</v>
      </c>
      <c r="I20" s="5">
        <v>3</v>
      </c>
      <c r="J20" s="6">
        <v>1560888</v>
      </c>
      <c r="K20" s="7">
        <v>55651</v>
      </c>
      <c r="L20" s="8" t="s">
        <v>82</v>
      </c>
      <c r="M20" s="11" t="s">
        <v>102</v>
      </c>
      <c r="N20" s="2">
        <f t="shared" si="0"/>
        <v>56829.144578313251</v>
      </c>
      <c r="O20" s="2">
        <f t="shared" si="1"/>
        <v>2533274.4819277111</v>
      </c>
    </row>
    <row r="21" spans="1:15" x14ac:dyDescent="0.3">
      <c r="A21" s="10" t="s">
        <v>27</v>
      </c>
      <c r="B21" s="5" t="s">
        <v>185</v>
      </c>
      <c r="C21" s="5" t="s">
        <v>56</v>
      </c>
      <c r="D21" s="5" t="s">
        <v>66</v>
      </c>
      <c r="E21" s="5" t="s">
        <v>70</v>
      </c>
      <c r="F21" s="5" t="s">
        <v>71</v>
      </c>
      <c r="G21" s="5" t="s">
        <v>77</v>
      </c>
      <c r="H21" s="5" t="s">
        <v>79</v>
      </c>
      <c r="I21" s="5">
        <v>3</v>
      </c>
      <c r="J21" s="6">
        <v>1592133</v>
      </c>
      <c r="K21" s="7">
        <v>13994</v>
      </c>
      <c r="L21" s="8" t="s">
        <v>81</v>
      </c>
      <c r="M21" s="11" t="s">
        <v>103</v>
      </c>
      <c r="N21" s="2">
        <f t="shared" si="0"/>
        <v>57229.402439024387</v>
      </c>
      <c r="O21" s="2">
        <f t="shared" si="1"/>
        <v>2547385.3292682925</v>
      </c>
    </row>
    <row r="22" spans="1:15" x14ac:dyDescent="0.3">
      <c r="A22" s="10" t="s">
        <v>18</v>
      </c>
      <c r="B22" s="5" t="s">
        <v>189</v>
      </c>
      <c r="C22" s="5" t="s">
        <v>59</v>
      </c>
      <c r="D22" s="5" t="s">
        <v>62</v>
      </c>
      <c r="E22" s="5" t="s">
        <v>67</v>
      </c>
      <c r="F22" s="5" t="s">
        <v>75</v>
      </c>
      <c r="G22" s="5" t="s">
        <v>76</v>
      </c>
      <c r="H22" s="5" t="s">
        <v>79</v>
      </c>
      <c r="I22" s="5">
        <v>1</v>
      </c>
      <c r="J22" s="6">
        <v>1271000</v>
      </c>
      <c r="K22" s="7">
        <v>65793</v>
      </c>
      <c r="L22" s="8" t="s">
        <v>81</v>
      </c>
      <c r="M22" s="11" t="s">
        <v>104</v>
      </c>
      <c r="N22" s="2">
        <f t="shared" si="0"/>
        <v>57248.888888888891</v>
      </c>
      <c r="O22" s="2">
        <f t="shared" si="1"/>
        <v>2559564.3086419753</v>
      </c>
    </row>
    <row r="23" spans="1:15" x14ac:dyDescent="0.3">
      <c r="A23" s="10" t="s">
        <v>28</v>
      </c>
      <c r="B23" s="5" t="s">
        <v>189</v>
      </c>
      <c r="C23" s="5" t="s">
        <v>59</v>
      </c>
      <c r="D23" s="5" t="s">
        <v>62</v>
      </c>
      <c r="E23" s="5" t="s">
        <v>69</v>
      </c>
      <c r="F23" s="5" t="s">
        <v>75</v>
      </c>
      <c r="G23" s="5" t="s">
        <v>76</v>
      </c>
      <c r="H23" s="5" t="s">
        <v>79</v>
      </c>
      <c r="I23" s="5">
        <v>3</v>
      </c>
      <c r="J23" s="6">
        <v>6014543</v>
      </c>
      <c r="K23" s="7">
        <v>125880</v>
      </c>
      <c r="L23" s="8" t="s">
        <v>83</v>
      </c>
      <c r="M23" s="11" t="s">
        <v>105</v>
      </c>
      <c r="N23" s="2">
        <f t="shared" si="0"/>
        <v>57789.574999999997</v>
      </c>
      <c r="O23" s="2">
        <f t="shared" si="1"/>
        <v>2571657.2000000002</v>
      </c>
    </row>
    <row r="24" spans="1:15" x14ac:dyDescent="0.3">
      <c r="A24" s="10" t="s">
        <v>29</v>
      </c>
      <c r="B24" s="5" t="s">
        <v>190</v>
      </c>
      <c r="C24" s="5" t="s">
        <v>60</v>
      </c>
      <c r="D24" s="5" t="s">
        <v>63</v>
      </c>
      <c r="E24" s="5" t="s">
        <v>70</v>
      </c>
      <c r="F24" s="5" t="s">
        <v>71</v>
      </c>
      <c r="G24" s="5" t="s">
        <v>77</v>
      </c>
      <c r="H24" s="5" t="s">
        <v>80</v>
      </c>
      <c r="I24" s="5">
        <v>2</v>
      </c>
      <c r="J24" s="6">
        <v>1532361</v>
      </c>
      <c r="K24" s="7">
        <v>25642</v>
      </c>
      <c r="L24" s="8" t="s">
        <v>83</v>
      </c>
      <c r="M24" s="11" t="s">
        <v>106</v>
      </c>
      <c r="N24" s="2">
        <f t="shared" si="0"/>
        <v>57688.265822784808</v>
      </c>
      <c r="O24" s="2">
        <f t="shared" si="1"/>
        <v>2588121.2151898732</v>
      </c>
    </row>
    <row r="25" spans="1:15" x14ac:dyDescent="0.3">
      <c r="A25" s="10" t="s">
        <v>14</v>
      </c>
      <c r="B25" s="5" t="s">
        <v>184</v>
      </c>
      <c r="C25" s="5" t="s">
        <v>55</v>
      </c>
      <c r="D25" s="5" t="s">
        <v>64</v>
      </c>
      <c r="E25" s="5" t="s">
        <v>68</v>
      </c>
      <c r="F25" s="5" t="s">
        <v>75</v>
      </c>
      <c r="G25" s="5" t="s">
        <v>77</v>
      </c>
      <c r="H25" s="5" t="s">
        <v>80</v>
      </c>
      <c r="I25" s="5">
        <v>1</v>
      </c>
      <c r="J25" s="6">
        <v>997585</v>
      </c>
      <c r="K25" s="7">
        <v>16552</v>
      </c>
      <c r="L25" s="8" t="s">
        <v>82</v>
      </c>
      <c r="M25" s="11" t="s">
        <v>107</v>
      </c>
      <c r="N25" s="2">
        <f t="shared" si="0"/>
        <v>56814.01282051282</v>
      </c>
      <c r="O25" s="2">
        <f t="shared" si="1"/>
        <v>2544192.730769231</v>
      </c>
    </row>
    <row r="26" spans="1:15" x14ac:dyDescent="0.3">
      <c r="A26" s="10" t="s">
        <v>30</v>
      </c>
      <c r="B26" s="5" t="s">
        <v>188</v>
      </c>
      <c r="C26" s="5" t="s">
        <v>58</v>
      </c>
      <c r="D26" s="5" t="s">
        <v>64</v>
      </c>
      <c r="E26" s="5" t="s">
        <v>68</v>
      </c>
      <c r="F26" s="5" t="s">
        <v>71</v>
      </c>
      <c r="G26" s="5" t="s">
        <v>76</v>
      </c>
      <c r="H26" s="5" t="s">
        <v>80</v>
      </c>
      <c r="I26" s="5">
        <v>2</v>
      </c>
      <c r="J26" s="6">
        <v>924707</v>
      </c>
      <c r="K26" s="7">
        <v>20338</v>
      </c>
      <c r="L26" s="8" t="s">
        <v>81</v>
      </c>
      <c r="M26" s="11" t="s">
        <v>183</v>
      </c>
      <c r="N26" s="2">
        <f t="shared" si="0"/>
        <v>57218.844155844155</v>
      </c>
      <c r="O26" s="2">
        <f t="shared" si="1"/>
        <v>2557333.4025974027</v>
      </c>
    </row>
    <row r="27" spans="1:15" x14ac:dyDescent="0.3">
      <c r="A27" s="10" t="s">
        <v>31</v>
      </c>
      <c r="B27" s="5" t="s">
        <v>191</v>
      </c>
      <c r="C27" s="5" t="s">
        <v>57</v>
      </c>
      <c r="D27" s="5" t="s">
        <v>61</v>
      </c>
      <c r="E27" s="5" t="s">
        <v>70</v>
      </c>
      <c r="F27" s="5" t="s">
        <v>75</v>
      </c>
      <c r="G27" s="5" t="s">
        <v>76</v>
      </c>
      <c r="H27" s="5" t="s">
        <v>79</v>
      </c>
      <c r="I27" s="5">
        <v>1</v>
      </c>
      <c r="J27" s="6">
        <v>1519328</v>
      </c>
      <c r="K27" s="7">
        <v>17564</v>
      </c>
      <c r="L27" s="8" t="s">
        <v>83</v>
      </c>
      <c r="M27" s="11" t="s">
        <v>108</v>
      </c>
      <c r="N27" s="2">
        <f t="shared" si="0"/>
        <v>57753.934210526313</v>
      </c>
      <c r="O27" s="2">
        <f t="shared" si="1"/>
        <v>2577856.4078947366</v>
      </c>
    </row>
    <row r="28" spans="1:15" x14ac:dyDescent="0.3">
      <c r="A28" s="10" t="s">
        <v>32</v>
      </c>
      <c r="B28" s="5" t="s">
        <v>186</v>
      </c>
      <c r="C28" s="5" t="s">
        <v>57</v>
      </c>
      <c r="D28" s="5" t="s">
        <v>66</v>
      </c>
      <c r="E28" s="5" t="s">
        <v>67</v>
      </c>
      <c r="F28" s="5" t="s">
        <v>73</v>
      </c>
      <c r="G28" s="5" t="s">
        <v>77</v>
      </c>
      <c r="H28" s="5" t="s">
        <v>79</v>
      </c>
      <c r="I28" s="5">
        <v>2</v>
      </c>
      <c r="J28" s="6">
        <v>1319201</v>
      </c>
      <c r="K28" s="7">
        <v>43122</v>
      </c>
      <c r="L28" s="8" t="s">
        <v>81</v>
      </c>
      <c r="M28" s="11" t="s">
        <v>109</v>
      </c>
      <c r="N28" s="2">
        <f t="shared" si="0"/>
        <v>58252.813333333332</v>
      </c>
      <c r="O28" s="2">
        <f t="shared" si="1"/>
        <v>2599898.4</v>
      </c>
    </row>
    <row r="29" spans="1:15" x14ac:dyDescent="0.3">
      <c r="A29" s="10" t="s">
        <v>33</v>
      </c>
      <c r="B29" s="5" t="s">
        <v>185</v>
      </c>
      <c r="C29" s="5" t="s">
        <v>56</v>
      </c>
      <c r="D29" s="5" t="s">
        <v>61</v>
      </c>
      <c r="E29" s="5" t="s">
        <v>70</v>
      </c>
      <c r="F29" s="5" t="s">
        <v>75</v>
      </c>
      <c r="G29" s="5" t="s">
        <v>78</v>
      </c>
      <c r="H29" s="5" t="s">
        <v>79</v>
      </c>
      <c r="I29" s="5">
        <v>1</v>
      </c>
      <c r="J29" s="6">
        <v>1537439</v>
      </c>
      <c r="K29" s="7">
        <v>60536</v>
      </c>
      <c r="L29" s="8" t="s">
        <v>81</v>
      </c>
      <c r="M29" s="11" t="s">
        <v>110</v>
      </c>
      <c r="N29" s="2">
        <f t="shared" si="0"/>
        <v>58802.66216216216</v>
      </c>
      <c r="O29" s="2">
        <f t="shared" si="1"/>
        <v>2614500.7027027025</v>
      </c>
    </row>
    <row r="30" spans="1:15" x14ac:dyDescent="0.3">
      <c r="A30" s="10" t="s">
        <v>34</v>
      </c>
      <c r="B30" s="5" t="s">
        <v>185</v>
      </c>
      <c r="C30" s="5" t="s">
        <v>56</v>
      </c>
      <c r="D30" s="5" t="s">
        <v>65</v>
      </c>
      <c r="E30" s="5" t="s">
        <v>69</v>
      </c>
      <c r="F30" s="5" t="s">
        <v>74</v>
      </c>
      <c r="G30" s="5" t="s">
        <v>76</v>
      </c>
      <c r="H30" s="5" t="s">
        <v>79</v>
      </c>
      <c r="I30" s="5">
        <v>3</v>
      </c>
      <c r="J30" s="6">
        <v>5979327</v>
      </c>
      <c r="K30" s="7">
        <v>59862</v>
      </c>
      <c r="L30" s="8" t="s">
        <v>83</v>
      </c>
      <c r="M30" s="11" t="s">
        <v>111</v>
      </c>
      <c r="N30" s="2">
        <f t="shared" si="0"/>
        <v>59017.465753424658</v>
      </c>
      <c r="O30" s="2">
        <f t="shared" si="1"/>
        <v>2632244.5342465756</v>
      </c>
    </row>
    <row r="31" spans="1:15" x14ac:dyDescent="0.3">
      <c r="A31" s="10" t="s">
        <v>22</v>
      </c>
      <c r="B31" s="5" t="s">
        <v>185</v>
      </c>
      <c r="C31" s="5" t="s">
        <v>56</v>
      </c>
      <c r="D31" s="5" t="s">
        <v>66</v>
      </c>
      <c r="E31" s="5" t="s">
        <v>69</v>
      </c>
      <c r="F31" s="5" t="s">
        <v>71</v>
      </c>
      <c r="G31" s="5" t="s">
        <v>77</v>
      </c>
      <c r="H31" s="5" t="s">
        <v>79</v>
      </c>
      <c r="I31" s="5">
        <v>1</v>
      </c>
      <c r="J31" s="6">
        <v>6030808</v>
      </c>
      <c r="K31" s="7">
        <v>97795</v>
      </c>
      <c r="L31" s="8" t="s">
        <v>81</v>
      </c>
      <c r="M31" s="11" t="s">
        <v>112</v>
      </c>
      <c r="N31" s="2">
        <f t="shared" si="0"/>
        <v>58996.375</v>
      </c>
      <c r="O31" s="2">
        <f t="shared" si="1"/>
        <v>2647450.1666666665</v>
      </c>
    </row>
    <row r="32" spans="1:15" x14ac:dyDescent="0.3">
      <c r="A32" s="10" t="s">
        <v>35</v>
      </c>
      <c r="B32" s="5" t="s">
        <v>184</v>
      </c>
      <c r="C32" s="5" t="s">
        <v>55</v>
      </c>
      <c r="D32" s="5" t="s">
        <v>65</v>
      </c>
      <c r="E32" s="5" t="s">
        <v>70</v>
      </c>
      <c r="F32" s="5" t="s">
        <v>74</v>
      </c>
      <c r="G32" s="5" t="s">
        <v>77</v>
      </c>
      <c r="H32" s="5" t="s">
        <v>80</v>
      </c>
      <c r="I32" s="5">
        <v>1</v>
      </c>
      <c r="J32" s="6">
        <v>1490515</v>
      </c>
      <c r="K32" s="7">
        <v>70670</v>
      </c>
      <c r="L32" s="8" t="s">
        <v>82</v>
      </c>
      <c r="M32" s="11" t="s">
        <v>113</v>
      </c>
      <c r="N32" s="2">
        <f t="shared" si="0"/>
        <v>58984.183098591551</v>
      </c>
      <c r="O32" s="2">
        <f t="shared" si="1"/>
        <v>2600522.323943662</v>
      </c>
    </row>
    <row r="33" spans="1:15" x14ac:dyDescent="0.3">
      <c r="A33" s="10" t="s">
        <v>18</v>
      </c>
      <c r="B33" s="5" t="s">
        <v>192</v>
      </c>
      <c r="C33" s="5" t="s">
        <v>60</v>
      </c>
      <c r="D33" s="5" t="s">
        <v>61</v>
      </c>
      <c r="E33" s="5" t="s">
        <v>70</v>
      </c>
      <c r="F33" s="5" t="s">
        <v>72</v>
      </c>
      <c r="G33" s="5" t="s">
        <v>77</v>
      </c>
      <c r="H33" s="5" t="s">
        <v>80</v>
      </c>
      <c r="I33" s="5">
        <v>1</v>
      </c>
      <c r="J33" s="6">
        <v>1515055</v>
      </c>
      <c r="K33" s="7">
        <v>27485</v>
      </c>
      <c r="L33" s="8" t="s">
        <v>82</v>
      </c>
      <c r="M33" s="11" t="s">
        <v>114</v>
      </c>
      <c r="N33" s="2">
        <f t="shared" si="0"/>
        <v>58429.742857142854</v>
      </c>
      <c r="O33" s="2">
        <f t="shared" si="1"/>
        <v>2551518.2428571428</v>
      </c>
    </row>
    <row r="34" spans="1:15" x14ac:dyDescent="0.3">
      <c r="A34" s="10" t="s">
        <v>36</v>
      </c>
      <c r="B34" s="5" t="s">
        <v>184</v>
      </c>
      <c r="C34" s="5" t="s">
        <v>55</v>
      </c>
      <c r="D34" s="5" t="s">
        <v>65</v>
      </c>
      <c r="E34" s="5" t="s">
        <v>67</v>
      </c>
      <c r="F34" s="5" t="s">
        <v>71</v>
      </c>
      <c r="G34" s="5" t="s">
        <v>77</v>
      </c>
      <c r="H34" s="5" t="s">
        <v>79</v>
      </c>
      <c r="I34" s="5">
        <v>1</v>
      </c>
      <c r="J34" s="6">
        <v>1341660</v>
      </c>
      <c r="K34" s="7">
        <v>30000</v>
      </c>
      <c r="L34" s="8" t="s">
        <v>83</v>
      </c>
      <c r="M34" s="11" t="s">
        <v>115</v>
      </c>
      <c r="N34" s="2">
        <f t="shared" ref="N34:N65" si="2">AVERAGE(K33:K133)</f>
        <v>58252.34782608696</v>
      </c>
      <c r="O34" s="2">
        <f t="shared" ref="O34:O65" si="3">AVERAGE(J33:J133)</f>
        <v>2566895.1014492754</v>
      </c>
    </row>
    <row r="35" spans="1:15" x14ac:dyDescent="0.3">
      <c r="A35" s="10" t="s">
        <v>24</v>
      </c>
      <c r="B35" s="5" t="s">
        <v>193</v>
      </c>
      <c r="C35" s="5" t="s">
        <v>58</v>
      </c>
      <c r="D35" s="5" t="s">
        <v>63</v>
      </c>
      <c r="E35" s="5" t="s">
        <v>70</v>
      </c>
      <c r="F35" s="5" t="s">
        <v>75</v>
      </c>
      <c r="G35" s="5" t="s">
        <v>76</v>
      </c>
      <c r="H35" s="5" t="s">
        <v>80</v>
      </c>
      <c r="I35" s="5">
        <v>3</v>
      </c>
      <c r="J35" s="6">
        <v>1542050</v>
      </c>
      <c r="K35" s="7">
        <v>52040</v>
      </c>
      <c r="L35" s="8" t="s">
        <v>82</v>
      </c>
      <c r="M35" s="11" t="s">
        <v>116</v>
      </c>
      <c r="N35" s="2">
        <f t="shared" si="2"/>
        <v>58704.808823529413</v>
      </c>
      <c r="O35" s="2">
        <f t="shared" si="3"/>
        <v>2582363.338235294</v>
      </c>
    </row>
    <row r="36" spans="1:15" x14ac:dyDescent="0.3">
      <c r="A36" s="10" t="s">
        <v>16</v>
      </c>
      <c r="B36" s="5" t="s">
        <v>194</v>
      </c>
      <c r="C36" s="5" t="s">
        <v>59</v>
      </c>
      <c r="D36" s="5" t="s">
        <v>64</v>
      </c>
      <c r="E36" s="5" t="s">
        <v>70</v>
      </c>
      <c r="F36" s="5" t="s">
        <v>71</v>
      </c>
      <c r="G36" s="5" t="s">
        <v>78</v>
      </c>
      <c r="H36" s="5" t="s">
        <v>80</v>
      </c>
      <c r="I36" s="5">
        <v>1</v>
      </c>
      <c r="J36" s="6">
        <v>1519590</v>
      </c>
      <c r="K36" s="7">
        <v>12507</v>
      </c>
      <c r="L36" s="8" t="s">
        <v>81</v>
      </c>
      <c r="M36" s="11" t="s">
        <v>117</v>
      </c>
      <c r="N36" s="2">
        <f t="shared" si="2"/>
        <v>59133.238805970148</v>
      </c>
      <c r="O36" s="2">
        <f t="shared" si="3"/>
        <v>2600881.2985074627</v>
      </c>
    </row>
    <row r="37" spans="1:15" x14ac:dyDescent="0.3">
      <c r="A37" s="10" t="s">
        <v>37</v>
      </c>
      <c r="B37" s="5" t="s">
        <v>189</v>
      </c>
      <c r="C37" s="5" t="s">
        <v>59</v>
      </c>
      <c r="D37" s="5" t="s">
        <v>65</v>
      </c>
      <c r="E37" s="5" t="s">
        <v>69</v>
      </c>
      <c r="F37" s="5" t="s">
        <v>74</v>
      </c>
      <c r="G37" s="5" t="s">
        <v>78</v>
      </c>
      <c r="H37" s="5" t="s">
        <v>79</v>
      </c>
      <c r="I37" s="5">
        <v>3</v>
      </c>
      <c r="J37" s="6">
        <v>5980315</v>
      </c>
      <c r="K37" s="7">
        <v>100488</v>
      </c>
      <c r="L37" s="8" t="s">
        <v>81</v>
      </c>
      <c r="M37" s="11" t="s">
        <v>118</v>
      </c>
      <c r="N37" s="2">
        <f t="shared" si="2"/>
        <v>59240.71212121212</v>
      </c>
      <c r="O37" s="2">
        <f t="shared" si="3"/>
        <v>2616924.1969696968</v>
      </c>
    </row>
    <row r="38" spans="1:15" x14ac:dyDescent="0.3">
      <c r="A38" s="10" t="s">
        <v>38</v>
      </c>
      <c r="B38" s="5" t="s">
        <v>189</v>
      </c>
      <c r="C38" s="5" t="s">
        <v>59</v>
      </c>
      <c r="D38" s="5" t="s">
        <v>62</v>
      </c>
      <c r="E38" s="5" t="s">
        <v>68</v>
      </c>
      <c r="F38" s="5" t="s">
        <v>74</v>
      </c>
      <c r="G38" s="5" t="s">
        <v>76</v>
      </c>
      <c r="H38" s="5" t="s">
        <v>80</v>
      </c>
      <c r="I38" s="5">
        <v>2</v>
      </c>
      <c r="J38" s="6">
        <v>901651</v>
      </c>
      <c r="K38" s="7">
        <v>33869</v>
      </c>
      <c r="L38" s="8" t="s">
        <v>81</v>
      </c>
      <c r="M38" s="11" t="s">
        <v>119</v>
      </c>
      <c r="N38" s="2">
        <f t="shared" si="2"/>
        <v>59959.692307692305</v>
      </c>
      <c r="O38" s="2">
        <f t="shared" si="3"/>
        <v>2633806.2615384613</v>
      </c>
    </row>
    <row r="39" spans="1:15" x14ac:dyDescent="0.3">
      <c r="A39" s="10" t="s">
        <v>39</v>
      </c>
      <c r="B39" s="5" t="s">
        <v>189</v>
      </c>
      <c r="C39" s="5" t="s">
        <v>59</v>
      </c>
      <c r="D39" s="5" t="s">
        <v>66</v>
      </c>
      <c r="E39" s="5" t="s">
        <v>68</v>
      </c>
      <c r="F39" s="5" t="s">
        <v>73</v>
      </c>
      <c r="G39" s="5" t="s">
        <v>78</v>
      </c>
      <c r="H39" s="5" t="s">
        <v>80</v>
      </c>
      <c r="I39" s="5">
        <v>2</v>
      </c>
      <c r="J39" s="6">
        <v>931077</v>
      </c>
      <c r="K39" s="7">
        <v>53705</v>
      </c>
      <c r="L39" s="8" t="s">
        <v>81</v>
      </c>
      <c r="M39" s="11" t="s">
        <v>120</v>
      </c>
      <c r="N39" s="2">
        <f t="shared" si="2"/>
        <v>59326.4375</v>
      </c>
      <c r="O39" s="2">
        <f t="shared" si="3"/>
        <v>2581517.0625</v>
      </c>
    </row>
    <row r="40" spans="1:15" x14ac:dyDescent="0.3">
      <c r="A40" s="10" t="s">
        <v>37</v>
      </c>
      <c r="B40" s="5" t="s">
        <v>190</v>
      </c>
      <c r="C40" s="5" t="s">
        <v>60</v>
      </c>
      <c r="D40" s="5" t="s">
        <v>65</v>
      </c>
      <c r="E40" s="5" t="s">
        <v>67</v>
      </c>
      <c r="F40" s="5" t="s">
        <v>72</v>
      </c>
      <c r="G40" s="5" t="s">
        <v>76</v>
      </c>
      <c r="H40" s="5" t="s">
        <v>80</v>
      </c>
      <c r="I40" s="5">
        <v>3</v>
      </c>
      <c r="J40" s="6">
        <v>1349390</v>
      </c>
      <c r="K40" s="7">
        <v>54388</v>
      </c>
      <c r="L40" s="8" t="s">
        <v>83</v>
      </c>
      <c r="M40" s="11" t="s">
        <v>121</v>
      </c>
      <c r="N40" s="2">
        <f t="shared" si="2"/>
        <v>59730.523809523809</v>
      </c>
      <c r="O40" s="2">
        <f t="shared" si="3"/>
        <v>2608181.6031746031</v>
      </c>
    </row>
    <row r="41" spans="1:15" x14ac:dyDescent="0.3">
      <c r="A41" s="10" t="s">
        <v>40</v>
      </c>
      <c r="B41" s="5" t="s">
        <v>186</v>
      </c>
      <c r="C41" s="5" t="s">
        <v>57</v>
      </c>
      <c r="D41" s="5" t="s">
        <v>64</v>
      </c>
      <c r="E41" s="5" t="s">
        <v>70</v>
      </c>
      <c r="F41" s="5" t="s">
        <v>73</v>
      </c>
      <c r="G41" s="5" t="s">
        <v>76</v>
      </c>
      <c r="H41" s="5" t="s">
        <v>80</v>
      </c>
      <c r="I41" s="5">
        <v>3</v>
      </c>
      <c r="J41" s="6">
        <v>1562692</v>
      </c>
      <c r="K41" s="7">
        <v>61495</v>
      </c>
      <c r="L41" s="8" t="s">
        <v>83</v>
      </c>
      <c r="M41" s="11" t="s">
        <v>122</v>
      </c>
      <c r="N41" s="2">
        <f t="shared" si="2"/>
        <v>59827.709677419356</v>
      </c>
      <c r="O41" s="2">
        <f t="shared" si="3"/>
        <v>2635231.6774193547</v>
      </c>
    </row>
    <row r="42" spans="1:15" x14ac:dyDescent="0.3">
      <c r="A42" s="10" t="s">
        <v>34</v>
      </c>
      <c r="B42" s="5" t="s">
        <v>189</v>
      </c>
      <c r="C42" s="5" t="s">
        <v>59</v>
      </c>
      <c r="D42" s="5" t="s">
        <v>61</v>
      </c>
      <c r="E42" s="5" t="s">
        <v>69</v>
      </c>
      <c r="F42" s="5" t="s">
        <v>71</v>
      </c>
      <c r="G42" s="5" t="s">
        <v>77</v>
      </c>
      <c r="H42" s="5" t="s">
        <v>80</v>
      </c>
      <c r="I42" s="5">
        <v>1</v>
      </c>
      <c r="J42" s="6">
        <v>6074042</v>
      </c>
      <c r="K42" s="7">
        <v>146463</v>
      </c>
      <c r="L42" s="8" t="s">
        <v>81</v>
      </c>
      <c r="M42" s="11" t="s">
        <v>123</v>
      </c>
      <c r="N42" s="2">
        <f t="shared" si="2"/>
        <v>59916.885245901642</v>
      </c>
      <c r="O42" s="2">
        <f t="shared" si="3"/>
        <v>2656311.0491803279</v>
      </c>
    </row>
    <row r="43" spans="1:15" x14ac:dyDescent="0.3">
      <c r="A43" s="10" t="s">
        <v>25</v>
      </c>
      <c r="B43" s="5" t="s">
        <v>190</v>
      </c>
      <c r="C43" s="5" t="s">
        <v>60</v>
      </c>
      <c r="D43" s="5" t="s">
        <v>65</v>
      </c>
      <c r="E43" s="5" t="s">
        <v>68</v>
      </c>
      <c r="F43" s="5" t="s">
        <v>71</v>
      </c>
      <c r="G43" s="5" t="s">
        <v>77</v>
      </c>
      <c r="H43" s="5" t="s">
        <v>79</v>
      </c>
      <c r="I43" s="5">
        <v>1</v>
      </c>
      <c r="J43" s="6">
        <v>931374</v>
      </c>
      <c r="K43" s="7">
        <v>24722</v>
      </c>
      <c r="L43" s="8" t="s">
        <v>82</v>
      </c>
      <c r="M43" s="11" t="s">
        <v>124</v>
      </c>
      <c r="N43" s="2">
        <f t="shared" si="2"/>
        <v>59890.583333333336</v>
      </c>
      <c r="O43" s="2">
        <f t="shared" si="3"/>
        <v>2674538.0333333332</v>
      </c>
    </row>
    <row r="44" spans="1:15" x14ac:dyDescent="0.3">
      <c r="A44" s="10" t="s">
        <v>41</v>
      </c>
      <c r="B44" s="5" t="s">
        <v>184</v>
      </c>
      <c r="C44" s="5" t="s">
        <v>55</v>
      </c>
      <c r="D44" s="5" t="s">
        <v>63</v>
      </c>
      <c r="E44" s="5" t="s">
        <v>68</v>
      </c>
      <c r="F44" s="5" t="s">
        <v>72</v>
      </c>
      <c r="G44" s="5" t="s">
        <v>78</v>
      </c>
      <c r="H44" s="5" t="s">
        <v>80</v>
      </c>
      <c r="I44" s="5">
        <v>3</v>
      </c>
      <c r="J44" s="6">
        <v>900970</v>
      </c>
      <c r="K44" s="7">
        <v>57077</v>
      </c>
      <c r="L44" s="8" t="s">
        <v>82</v>
      </c>
      <c r="M44" s="11" t="s">
        <v>125</v>
      </c>
      <c r="N44" s="2">
        <f t="shared" si="2"/>
        <v>58423.254237288136</v>
      </c>
      <c r="O44" s="2">
        <f t="shared" si="3"/>
        <v>2616919.3220338984</v>
      </c>
    </row>
    <row r="45" spans="1:15" x14ac:dyDescent="0.3">
      <c r="A45" s="10" t="s">
        <v>16</v>
      </c>
      <c r="B45" s="5" t="s">
        <v>184</v>
      </c>
      <c r="C45" s="5" t="s">
        <v>55</v>
      </c>
      <c r="D45" s="5" t="s">
        <v>64</v>
      </c>
      <c r="E45" s="5" t="s">
        <v>68</v>
      </c>
      <c r="F45" s="5" t="s">
        <v>75</v>
      </c>
      <c r="G45" s="5" t="s">
        <v>78</v>
      </c>
      <c r="H45" s="5" t="s">
        <v>79</v>
      </c>
      <c r="I45" s="5">
        <v>3</v>
      </c>
      <c r="J45" s="6">
        <v>907367</v>
      </c>
      <c r="K45" s="7">
        <v>21526</v>
      </c>
      <c r="L45" s="8" t="s">
        <v>81</v>
      </c>
      <c r="M45" s="11" t="s">
        <v>126</v>
      </c>
      <c r="N45" s="2">
        <f t="shared" si="2"/>
        <v>59004.310344827587</v>
      </c>
      <c r="O45" s="2">
        <f t="shared" si="3"/>
        <v>2645980.4482758623</v>
      </c>
    </row>
    <row r="46" spans="1:15" x14ac:dyDescent="0.3">
      <c r="A46" s="10" t="s">
        <v>42</v>
      </c>
      <c r="B46" s="5" t="s">
        <v>191</v>
      </c>
      <c r="C46" s="5" t="s">
        <v>57</v>
      </c>
      <c r="D46" s="5" t="s">
        <v>64</v>
      </c>
      <c r="E46" s="5" t="s">
        <v>68</v>
      </c>
      <c r="F46" s="5" t="s">
        <v>72</v>
      </c>
      <c r="G46" s="5" t="s">
        <v>76</v>
      </c>
      <c r="H46" s="5" t="s">
        <v>80</v>
      </c>
      <c r="I46" s="5">
        <v>3</v>
      </c>
      <c r="J46" s="6">
        <v>971803</v>
      </c>
      <c r="K46" s="7">
        <v>53750</v>
      </c>
      <c r="L46" s="8" t="s">
        <v>83</v>
      </c>
      <c r="M46" s="11" t="s">
        <v>127</v>
      </c>
      <c r="N46" s="2">
        <f t="shared" si="2"/>
        <v>59038.122807017542</v>
      </c>
      <c r="O46" s="2">
        <f t="shared" si="3"/>
        <v>2676594.6666666665</v>
      </c>
    </row>
    <row r="47" spans="1:15" x14ac:dyDescent="0.3">
      <c r="A47" s="10" t="s">
        <v>27</v>
      </c>
      <c r="B47" s="5" t="s">
        <v>190</v>
      </c>
      <c r="C47" s="5" t="s">
        <v>60</v>
      </c>
      <c r="D47" s="5" t="s">
        <v>65</v>
      </c>
      <c r="E47" s="5" t="s">
        <v>69</v>
      </c>
      <c r="F47" s="5" t="s">
        <v>71</v>
      </c>
      <c r="G47" s="5" t="s">
        <v>76</v>
      </c>
      <c r="H47" s="5" t="s">
        <v>80</v>
      </c>
      <c r="I47" s="5">
        <v>2</v>
      </c>
      <c r="J47" s="6">
        <v>6074433</v>
      </c>
      <c r="K47" s="7">
        <v>108991</v>
      </c>
      <c r="L47" s="8" t="s">
        <v>81</v>
      </c>
      <c r="M47" s="11" t="s">
        <v>128</v>
      </c>
      <c r="N47" s="2">
        <f t="shared" si="2"/>
        <v>59707.982142857145</v>
      </c>
      <c r="O47" s="2">
        <f t="shared" si="3"/>
        <v>2708188.0178571427</v>
      </c>
    </row>
    <row r="48" spans="1:15" x14ac:dyDescent="0.3">
      <c r="A48" s="10" t="s">
        <v>39</v>
      </c>
      <c r="B48" s="5" t="s">
        <v>184</v>
      </c>
      <c r="C48" s="5" t="s">
        <v>55</v>
      </c>
      <c r="D48" s="5" t="s">
        <v>65</v>
      </c>
      <c r="E48" s="5" t="s">
        <v>67</v>
      </c>
      <c r="F48" s="5" t="s">
        <v>73</v>
      </c>
      <c r="G48" s="5" t="s">
        <v>78</v>
      </c>
      <c r="H48" s="5" t="s">
        <v>80</v>
      </c>
      <c r="I48" s="5">
        <v>2</v>
      </c>
      <c r="J48" s="6">
        <v>1270311</v>
      </c>
      <c r="K48" s="7">
        <v>56762</v>
      </c>
      <c r="L48" s="8" t="s">
        <v>83</v>
      </c>
      <c r="M48" s="11" t="s">
        <v>129</v>
      </c>
      <c r="N48" s="2">
        <f t="shared" si="2"/>
        <v>59816.30909090909</v>
      </c>
      <c r="O48" s="2">
        <f t="shared" si="3"/>
        <v>2739758.6545454548</v>
      </c>
    </row>
    <row r="49" spans="1:15" x14ac:dyDescent="0.3">
      <c r="A49" s="10" t="s">
        <v>41</v>
      </c>
      <c r="B49" s="5" t="s">
        <v>191</v>
      </c>
      <c r="C49" s="5" t="s">
        <v>57</v>
      </c>
      <c r="D49" s="5" t="s">
        <v>61</v>
      </c>
      <c r="E49" s="5" t="s">
        <v>67</v>
      </c>
      <c r="F49" s="5" t="s">
        <v>71</v>
      </c>
      <c r="G49" s="5" t="s">
        <v>77</v>
      </c>
      <c r="H49" s="5" t="s">
        <v>79</v>
      </c>
      <c r="I49" s="5">
        <v>1</v>
      </c>
      <c r="J49" s="6">
        <v>1350410</v>
      </c>
      <c r="K49" s="7">
        <v>55478</v>
      </c>
      <c r="L49" s="8" t="s">
        <v>83</v>
      </c>
      <c r="M49" s="11" t="s">
        <v>130</v>
      </c>
      <c r="N49" s="2">
        <f t="shared" si="2"/>
        <v>58905.666666666664</v>
      </c>
      <c r="O49" s="2">
        <f t="shared" si="3"/>
        <v>2678005.4259259258</v>
      </c>
    </row>
    <row r="50" spans="1:15" x14ac:dyDescent="0.3">
      <c r="A50" s="10" t="s">
        <v>20</v>
      </c>
      <c r="B50" s="5" t="s">
        <v>184</v>
      </c>
      <c r="C50" s="5" t="s">
        <v>55</v>
      </c>
      <c r="D50" s="5" t="s">
        <v>63</v>
      </c>
      <c r="E50" s="5" t="s">
        <v>70</v>
      </c>
      <c r="F50" s="5" t="s">
        <v>74</v>
      </c>
      <c r="G50" s="5" t="s">
        <v>78</v>
      </c>
      <c r="H50" s="5" t="s">
        <v>79</v>
      </c>
      <c r="I50" s="5">
        <v>1</v>
      </c>
      <c r="J50" s="6">
        <v>1558992</v>
      </c>
      <c r="K50" s="7">
        <v>14080</v>
      </c>
      <c r="L50" s="8" t="s">
        <v>81</v>
      </c>
      <c r="M50" s="11" t="s">
        <v>131</v>
      </c>
      <c r="N50" s="2">
        <f t="shared" si="2"/>
        <v>58946.113207547169</v>
      </c>
      <c r="O50" s="2">
        <f t="shared" si="3"/>
        <v>2704565.6981132077</v>
      </c>
    </row>
    <row r="51" spans="1:15" x14ac:dyDescent="0.3">
      <c r="A51" s="10" t="s">
        <v>23</v>
      </c>
      <c r="B51" s="5" t="s">
        <v>188</v>
      </c>
      <c r="C51" s="5" t="s">
        <v>58</v>
      </c>
      <c r="D51" s="5" t="s">
        <v>63</v>
      </c>
      <c r="E51" s="5" t="s">
        <v>69</v>
      </c>
      <c r="F51" s="5" t="s">
        <v>75</v>
      </c>
      <c r="G51" s="5" t="s">
        <v>76</v>
      </c>
      <c r="H51" s="5" t="s">
        <v>79</v>
      </c>
      <c r="I51" s="5">
        <v>2</v>
      </c>
      <c r="J51" s="6">
        <v>6028279</v>
      </c>
      <c r="K51" s="7">
        <v>148759</v>
      </c>
      <c r="L51" s="8" t="s">
        <v>83</v>
      </c>
      <c r="M51" s="11" t="s">
        <v>132</v>
      </c>
      <c r="N51" s="2">
        <f t="shared" si="2"/>
        <v>59012.807692307695</v>
      </c>
      <c r="O51" s="2">
        <f t="shared" si="3"/>
        <v>2730607.153846154</v>
      </c>
    </row>
    <row r="52" spans="1:15" x14ac:dyDescent="0.3">
      <c r="A52" s="10" t="s">
        <v>43</v>
      </c>
      <c r="B52" s="5" t="s">
        <v>184</v>
      </c>
      <c r="C52" s="5" t="s">
        <v>55</v>
      </c>
      <c r="D52" s="5" t="s">
        <v>61</v>
      </c>
      <c r="E52" s="5" t="s">
        <v>70</v>
      </c>
      <c r="F52" s="5" t="s">
        <v>72</v>
      </c>
      <c r="G52" s="5" t="s">
        <v>76</v>
      </c>
      <c r="H52" s="5" t="s">
        <v>80</v>
      </c>
      <c r="I52" s="5">
        <v>2</v>
      </c>
      <c r="J52" s="6">
        <v>1457608</v>
      </c>
      <c r="K52" s="7">
        <v>35484</v>
      </c>
      <c r="L52" s="8" t="s">
        <v>81</v>
      </c>
      <c r="M52" s="11" t="s">
        <v>133</v>
      </c>
      <c r="N52" s="2">
        <f t="shared" si="2"/>
        <v>59893.843137254902</v>
      </c>
      <c r="O52" s="2">
        <f t="shared" si="3"/>
        <v>2753580</v>
      </c>
    </row>
    <row r="53" spans="1:15" x14ac:dyDescent="0.3">
      <c r="A53" s="10" t="s">
        <v>20</v>
      </c>
      <c r="B53" s="5" t="s">
        <v>194</v>
      </c>
      <c r="C53" s="5" t="s">
        <v>59</v>
      </c>
      <c r="D53" s="5" t="s">
        <v>64</v>
      </c>
      <c r="E53" s="5" t="s">
        <v>69</v>
      </c>
      <c r="F53" s="5" t="s">
        <v>71</v>
      </c>
      <c r="G53" s="5" t="s">
        <v>76</v>
      </c>
      <c r="H53" s="5" t="s">
        <v>79</v>
      </c>
      <c r="I53" s="5">
        <v>2</v>
      </c>
      <c r="J53" s="6">
        <v>6090017</v>
      </c>
      <c r="K53" s="7">
        <v>53534</v>
      </c>
      <c r="L53" s="8" t="s">
        <v>82</v>
      </c>
      <c r="M53" s="11" t="s">
        <v>134</v>
      </c>
      <c r="N53" s="2">
        <f t="shared" si="2"/>
        <v>58116.54</v>
      </c>
      <c r="O53" s="2">
        <f t="shared" si="3"/>
        <v>2688086.02</v>
      </c>
    </row>
    <row r="54" spans="1:15" x14ac:dyDescent="0.3">
      <c r="A54" s="10" t="s">
        <v>44</v>
      </c>
      <c r="B54" s="5" t="s">
        <v>186</v>
      </c>
      <c r="C54" s="5" t="s">
        <v>57</v>
      </c>
      <c r="D54" s="5" t="s">
        <v>66</v>
      </c>
      <c r="E54" s="5" t="s">
        <v>67</v>
      </c>
      <c r="F54" s="5" t="s">
        <v>72</v>
      </c>
      <c r="G54" s="5" t="s">
        <v>77</v>
      </c>
      <c r="H54" s="5" t="s">
        <v>80</v>
      </c>
      <c r="I54" s="5">
        <v>2</v>
      </c>
      <c r="J54" s="6">
        <v>1263181</v>
      </c>
      <c r="K54" s="7">
        <v>27049</v>
      </c>
      <c r="L54" s="8" t="s">
        <v>83</v>
      </c>
      <c r="M54" s="11" t="s">
        <v>135</v>
      </c>
      <c r="N54" s="2">
        <f t="shared" si="2"/>
        <v>58578.428571428572</v>
      </c>
      <c r="O54" s="2">
        <f t="shared" si="3"/>
        <v>2713197.8163265307</v>
      </c>
    </row>
    <row r="55" spans="1:15" x14ac:dyDescent="0.3">
      <c r="A55" s="10" t="s">
        <v>44</v>
      </c>
      <c r="B55" s="5" t="s">
        <v>184</v>
      </c>
      <c r="C55" s="5" t="s">
        <v>55</v>
      </c>
      <c r="D55" s="5" t="s">
        <v>62</v>
      </c>
      <c r="E55" s="5" t="s">
        <v>69</v>
      </c>
      <c r="F55" s="5" t="s">
        <v>73</v>
      </c>
      <c r="G55" s="5" t="s">
        <v>76</v>
      </c>
      <c r="H55" s="5" t="s">
        <v>79</v>
      </c>
      <c r="I55" s="5">
        <v>2</v>
      </c>
      <c r="J55" s="6">
        <v>6016131</v>
      </c>
      <c r="K55" s="7">
        <v>60735</v>
      </c>
      <c r="L55" s="8" t="s">
        <v>83</v>
      </c>
      <c r="M55" s="11" t="s">
        <v>136</v>
      </c>
      <c r="N55" s="2">
        <f t="shared" si="2"/>
        <v>58683.520833333336</v>
      </c>
      <c r="O55" s="2">
        <f t="shared" si="3"/>
        <v>2642847.4166666665</v>
      </c>
    </row>
    <row r="56" spans="1:15" x14ac:dyDescent="0.3">
      <c r="A56" s="10" t="s">
        <v>29</v>
      </c>
      <c r="B56" s="5" t="s">
        <v>185</v>
      </c>
      <c r="C56" s="5" t="s">
        <v>56</v>
      </c>
      <c r="D56" s="5" t="s">
        <v>64</v>
      </c>
      <c r="E56" s="5" t="s">
        <v>68</v>
      </c>
      <c r="F56" s="5" t="s">
        <v>75</v>
      </c>
      <c r="G56" s="5" t="s">
        <v>77</v>
      </c>
      <c r="H56" s="5" t="s">
        <v>79</v>
      </c>
      <c r="I56" s="5">
        <v>1</v>
      </c>
      <c r="J56" s="6">
        <v>914823</v>
      </c>
      <c r="K56" s="7">
        <v>23065</v>
      </c>
      <c r="L56" s="8" t="s">
        <v>82</v>
      </c>
      <c r="M56" s="11" t="s">
        <v>137</v>
      </c>
      <c r="N56" s="2">
        <f t="shared" si="2"/>
        <v>59356.595744680853</v>
      </c>
      <c r="O56" s="2">
        <f t="shared" si="3"/>
        <v>2672202.0212765955</v>
      </c>
    </row>
    <row r="57" spans="1:15" x14ac:dyDescent="0.3">
      <c r="A57" s="10" t="s">
        <v>45</v>
      </c>
      <c r="B57" s="5" t="s">
        <v>191</v>
      </c>
      <c r="C57" s="5" t="s">
        <v>57</v>
      </c>
      <c r="D57" s="5" t="s">
        <v>66</v>
      </c>
      <c r="E57" s="5" t="s">
        <v>68</v>
      </c>
      <c r="F57" s="5" t="s">
        <v>74</v>
      </c>
      <c r="G57" s="5" t="s">
        <v>77</v>
      </c>
      <c r="H57" s="5" t="s">
        <v>79</v>
      </c>
      <c r="I57" s="5">
        <v>2</v>
      </c>
      <c r="J57" s="6">
        <v>971905</v>
      </c>
      <c r="K57" s="7">
        <v>55840</v>
      </c>
      <c r="L57" s="8" t="s">
        <v>82</v>
      </c>
      <c r="M57" s="11" t="s">
        <v>138</v>
      </c>
      <c r="N57" s="2">
        <f t="shared" si="2"/>
        <v>59326.630434782608</v>
      </c>
      <c r="O57" s="2">
        <f t="shared" si="3"/>
        <v>2599507.913043478</v>
      </c>
    </row>
    <row r="58" spans="1:15" x14ac:dyDescent="0.3">
      <c r="A58" s="10" t="s">
        <v>37</v>
      </c>
      <c r="B58" s="5" t="s">
        <v>185</v>
      </c>
      <c r="C58" s="5" t="s">
        <v>56</v>
      </c>
      <c r="D58" s="5" t="s">
        <v>63</v>
      </c>
      <c r="E58" s="5" t="s">
        <v>68</v>
      </c>
      <c r="F58" s="5" t="s">
        <v>74</v>
      </c>
      <c r="G58" s="5" t="s">
        <v>78</v>
      </c>
      <c r="H58" s="5" t="s">
        <v>79</v>
      </c>
      <c r="I58" s="5">
        <v>3</v>
      </c>
      <c r="J58" s="6">
        <v>931777</v>
      </c>
      <c r="K58" s="7">
        <v>47735</v>
      </c>
      <c r="L58" s="8" t="s">
        <v>82</v>
      </c>
      <c r="M58" s="11" t="s">
        <v>139</v>
      </c>
      <c r="N58" s="2">
        <f t="shared" si="2"/>
        <v>60132.444444444445</v>
      </c>
      <c r="O58" s="2">
        <f t="shared" si="3"/>
        <v>2636945.3555555558</v>
      </c>
    </row>
    <row r="59" spans="1:15" x14ac:dyDescent="0.3">
      <c r="A59" s="10" t="s">
        <v>26</v>
      </c>
      <c r="B59" s="5" t="s">
        <v>192</v>
      </c>
      <c r="C59" s="5" t="s">
        <v>60</v>
      </c>
      <c r="D59" s="5" t="s">
        <v>62</v>
      </c>
      <c r="E59" s="5" t="s">
        <v>68</v>
      </c>
      <c r="F59" s="5" t="s">
        <v>73</v>
      </c>
      <c r="G59" s="5" t="s">
        <v>78</v>
      </c>
      <c r="H59" s="5" t="s">
        <v>80</v>
      </c>
      <c r="I59" s="5">
        <v>3</v>
      </c>
      <c r="J59" s="6">
        <v>881733</v>
      </c>
      <c r="K59" s="7">
        <v>62181</v>
      </c>
      <c r="L59" s="8" t="s">
        <v>81</v>
      </c>
      <c r="M59" s="11" t="s">
        <v>140</v>
      </c>
      <c r="N59" s="2">
        <f t="shared" si="2"/>
        <v>60230</v>
      </c>
      <c r="O59" s="2">
        <f t="shared" si="3"/>
        <v>2674787.1818181816</v>
      </c>
    </row>
    <row r="60" spans="1:15" x14ac:dyDescent="0.3">
      <c r="A60" s="10" t="s">
        <v>46</v>
      </c>
      <c r="B60" s="5" t="s">
        <v>190</v>
      </c>
      <c r="C60" s="5" t="s">
        <v>60</v>
      </c>
      <c r="D60" s="5" t="s">
        <v>63</v>
      </c>
      <c r="E60" s="5" t="s">
        <v>68</v>
      </c>
      <c r="F60" s="5" t="s">
        <v>74</v>
      </c>
      <c r="G60" s="5" t="s">
        <v>77</v>
      </c>
      <c r="H60" s="5" t="s">
        <v>80</v>
      </c>
      <c r="I60" s="5">
        <v>2</v>
      </c>
      <c r="J60" s="6">
        <v>939451</v>
      </c>
      <c r="K60" s="7">
        <v>10829</v>
      </c>
      <c r="L60" s="8" t="s">
        <v>83</v>
      </c>
      <c r="M60" s="11" t="s">
        <v>141</v>
      </c>
      <c r="N60" s="2">
        <f t="shared" si="2"/>
        <v>60520.58139534884</v>
      </c>
      <c r="O60" s="2">
        <f t="shared" si="3"/>
        <v>2715322.3023255812</v>
      </c>
    </row>
    <row r="61" spans="1:15" x14ac:dyDescent="0.3">
      <c r="A61" s="10" t="s">
        <v>47</v>
      </c>
      <c r="B61" s="5" t="s">
        <v>191</v>
      </c>
      <c r="C61" s="5" t="s">
        <v>57</v>
      </c>
      <c r="D61" s="5" t="s">
        <v>66</v>
      </c>
      <c r="E61" s="5" t="s">
        <v>67</v>
      </c>
      <c r="F61" s="5" t="s">
        <v>72</v>
      </c>
      <c r="G61" s="5" t="s">
        <v>76</v>
      </c>
      <c r="H61" s="5" t="s">
        <v>80</v>
      </c>
      <c r="I61" s="5">
        <v>3</v>
      </c>
      <c r="J61" s="6">
        <v>1386772</v>
      </c>
      <c r="K61" s="7">
        <v>73273</v>
      </c>
      <c r="L61" s="8" t="s">
        <v>83</v>
      </c>
      <c r="M61" s="11" t="s">
        <v>142</v>
      </c>
      <c r="N61" s="2">
        <f t="shared" si="2"/>
        <v>60481.047619047618</v>
      </c>
      <c r="O61" s="2">
        <f t="shared" si="3"/>
        <v>2758979.1904761903</v>
      </c>
    </row>
    <row r="62" spans="1:15" x14ac:dyDescent="0.3">
      <c r="A62" s="10" t="s">
        <v>22</v>
      </c>
      <c r="B62" s="5" t="s">
        <v>186</v>
      </c>
      <c r="C62" s="5" t="s">
        <v>57</v>
      </c>
      <c r="D62" s="5" t="s">
        <v>65</v>
      </c>
      <c r="E62" s="5" t="s">
        <v>70</v>
      </c>
      <c r="F62" s="5" t="s">
        <v>73</v>
      </c>
      <c r="G62" s="5" t="s">
        <v>78</v>
      </c>
      <c r="H62" s="5" t="s">
        <v>80</v>
      </c>
      <c r="I62" s="5">
        <v>2</v>
      </c>
      <c r="J62" s="6">
        <v>1472718</v>
      </c>
      <c r="K62" s="7">
        <v>28279</v>
      </c>
      <c r="L62" s="8" t="s">
        <v>83</v>
      </c>
      <c r="M62" s="11" t="s">
        <v>143</v>
      </c>
      <c r="N62" s="2">
        <f t="shared" si="2"/>
        <v>61692.07317073171</v>
      </c>
      <c r="O62" s="2">
        <f t="shared" si="3"/>
        <v>2803357.9268292682</v>
      </c>
    </row>
    <row r="63" spans="1:15" x14ac:dyDescent="0.3">
      <c r="A63" s="10" t="s">
        <v>13</v>
      </c>
      <c r="B63" s="5" t="s">
        <v>186</v>
      </c>
      <c r="C63" s="5" t="s">
        <v>57</v>
      </c>
      <c r="D63" s="5" t="s">
        <v>66</v>
      </c>
      <c r="E63" s="5" t="s">
        <v>69</v>
      </c>
      <c r="F63" s="5" t="s">
        <v>73</v>
      </c>
      <c r="G63" s="5" t="s">
        <v>78</v>
      </c>
      <c r="H63" s="5" t="s">
        <v>80</v>
      </c>
      <c r="I63" s="5">
        <v>2</v>
      </c>
      <c r="J63" s="6">
        <v>6077808</v>
      </c>
      <c r="K63" s="7">
        <v>77802</v>
      </c>
      <c r="L63" s="8" t="s">
        <v>81</v>
      </c>
      <c r="M63" s="11" t="s">
        <v>144</v>
      </c>
      <c r="N63" s="2">
        <f t="shared" si="2"/>
        <v>61402.55</v>
      </c>
      <c r="O63" s="2">
        <f t="shared" si="3"/>
        <v>2838772.5750000002</v>
      </c>
    </row>
    <row r="64" spans="1:15" x14ac:dyDescent="0.3">
      <c r="A64" s="10" t="s">
        <v>43</v>
      </c>
      <c r="B64" s="5" t="s">
        <v>186</v>
      </c>
      <c r="C64" s="5" t="s">
        <v>57</v>
      </c>
      <c r="D64" s="5" t="s">
        <v>63</v>
      </c>
      <c r="E64" s="5" t="s">
        <v>68</v>
      </c>
      <c r="F64" s="5" t="s">
        <v>74</v>
      </c>
      <c r="G64" s="5" t="s">
        <v>78</v>
      </c>
      <c r="H64" s="5" t="s">
        <v>79</v>
      </c>
      <c r="I64" s="5">
        <v>3</v>
      </c>
      <c r="J64" s="6">
        <v>872442</v>
      </c>
      <c r="K64" s="7">
        <v>25817</v>
      </c>
      <c r="L64" s="8" t="s">
        <v>81</v>
      </c>
      <c r="M64" s="11" t="s">
        <v>145</v>
      </c>
      <c r="N64" s="2">
        <f t="shared" si="2"/>
        <v>62251.871794871797</v>
      </c>
      <c r="O64" s="2">
        <f t="shared" si="3"/>
        <v>2873799.6153846155</v>
      </c>
    </row>
    <row r="65" spans="1:15" x14ac:dyDescent="0.3">
      <c r="A65" s="10" t="s">
        <v>23</v>
      </c>
      <c r="B65" s="5" t="s">
        <v>185</v>
      </c>
      <c r="C65" s="5" t="s">
        <v>56</v>
      </c>
      <c r="D65" s="5" t="s">
        <v>63</v>
      </c>
      <c r="E65" s="5" t="s">
        <v>69</v>
      </c>
      <c r="F65" s="5" t="s">
        <v>72</v>
      </c>
      <c r="G65" s="5" t="s">
        <v>76</v>
      </c>
      <c r="H65" s="5" t="s">
        <v>79</v>
      </c>
      <c r="I65" s="5">
        <v>1</v>
      </c>
      <c r="J65" s="6">
        <v>5974393</v>
      </c>
      <c r="K65" s="7">
        <v>88566</v>
      </c>
      <c r="L65" s="8" t="s">
        <v>83</v>
      </c>
      <c r="M65" s="11" t="s">
        <v>146</v>
      </c>
      <c r="N65" s="2">
        <f t="shared" si="2"/>
        <v>61842.65789473684</v>
      </c>
      <c r="O65" s="2">
        <f t="shared" si="3"/>
        <v>2789483.6052631577</v>
      </c>
    </row>
    <row r="66" spans="1:15" x14ac:dyDescent="0.3">
      <c r="A66" s="10" t="s">
        <v>30</v>
      </c>
      <c r="B66" s="5" t="s">
        <v>194</v>
      </c>
      <c r="C66" s="5" t="s">
        <v>59</v>
      </c>
      <c r="D66" s="5" t="s">
        <v>64</v>
      </c>
      <c r="E66" s="5" t="s">
        <v>69</v>
      </c>
      <c r="F66" s="5" t="s">
        <v>74</v>
      </c>
      <c r="G66" s="5" t="s">
        <v>78</v>
      </c>
      <c r="H66" s="5" t="s">
        <v>80</v>
      </c>
      <c r="I66" s="5">
        <v>3</v>
      </c>
      <c r="J66" s="6">
        <v>6040113</v>
      </c>
      <c r="K66" s="7">
        <v>105771</v>
      </c>
      <c r="L66" s="8" t="s">
        <v>81</v>
      </c>
      <c r="M66" s="11" t="s">
        <v>147</v>
      </c>
      <c r="N66" s="2">
        <f t="shared" ref="N66:N97" si="4">AVERAGE(K65:K165)</f>
        <v>62816.324324324327</v>
      </c>
      <c r="O66" s="2">
        <f t="shared" ref="O66:O97" si="5">AVERAGE(J65:J165)</f>
        <v>2841295.5405405406</v>
      </c>
    </row>
    <row r="67" spans="1:15" x14ac:dyDescent="0.3">
      <c r="A67" s="10" t="s">
        <v>48</v>
      </c>
      <c r="B67" s="5" t="s">
        <v>193</v>
      </c>
      <c r="C67" s="5" t="s">
        <v>58</v>
      </c>
      <c r="D67" s="5" t="s">
        <v>65</v>
      </c>
      <c r="E67" s="5" t="s">
        <v>70</v>
      </c>
      <c r="F67" s="5" t="s">
        <v>73</v>
      </c>
      <c r="G67" s="5" t="s">
        <v>78</v>
      </c>
      <c r="H67" s="5" t="s">
        <v>79</v>
      </c>
      <c r="I67" s="5">
        <v>3</v>
      </c>
      <c r="J67" s="6">
        <v>1510434</v>
      </c>
      <c r="K67" s="7">
        <v>17907</v>
      </c>
      <c r="L67" s="8" t="s">
        <v>81</v>
      </c>
      <c r="M67" s="11" t="s">
        <v>148</v>
      </c>
      <c r="N67" s="2">
        <f t="shared" si="4"/>
        <v>62101.055555555555</v>
      </c>
      <c r="O67" s="2">
        <f t="shared" si="5"/>
        <v>2754265.0555555555</v>
      </c>
    </row>
    <row r="68" spans="1:15" x14ac:dyDescent="0.3">
      <c r="A68" s="10" t="s">
        <v>12</v>
      </c>
      <c r="B68" s="5" t="s">
        <v>192</v>
      </c>
      <c r="C68" s="5" t="s">
        <v>60</v>
      </c>
      <c r="D68" s="5" t="s">
        <v>64</v>
      </c>
      <c r="E68" s="5" t="s">
        <v>67</v>
      </c>
      <c r="F68" s="5" t="s">
        <v>71</v>
      </c>
      <c r="G68" s="5" t="s">
        <v>76</v>
      </c>
      <c r="H68" s="5" t="s">
        <v>80</v>
      </c>
      <c r="I68" s="5">
        <v>3</v>
      </c>
      <c r="J68" s="6">
        <v>1376929</v>
      </c>
      <c r="K68" s="7">
        <v>28120</v>
      </c>
      <c r="L68" s="8" t="s">
        <v>82</v>
      </c>
      <c r="M68" s="11" t="s">
        <v>149</v>
      </c>
      <c r="N68" s="2">
        <f t="shared" si="4"/>
        <v>60853.342857142859</v>
      </c>
      <c r="O68" s="2">
        <f t="shared" si="5"/>
        <v>2660383.6857142858</v>
      </c>
    </row>
    <row r="69" spans="1:15" x14ac:dyDescent="0.3">
      <c r="A69" s="10" t="s">
        <v>49</v>
      </c>
      <c r="B69" s="5" t="s">
        <v>193</v>
      </c>
      <c r="C69" s="5" t="s">
        <v>58</v>
      </c>
      <c r="D69" s="5" t="s">
        <v>61</v>
      </c>
      <c r="E69" s="5" t="s">
        <v>70</v>
      </c>
      <c r="F69" s="5" t="s">
        <v>71</v>
      </c>
      <c r="G69" s="5" t="s">
        <v>76</v>
      </c>
      <c r="H69" s="5" t="s">
        <v>79</v>
      </c>
      <c r="I69" s="5">
        <v>1</v>
      </c>
      <c r="J69" s="6">
        <v>1497039</v>
      </c>
      <c r="K69" s="7">
        <v>29809</v>
      </c>
      <c r="L69" s="8" t="s">
        <v>83</v>
      </c>
      <c r="M69" s="11" t="s">
        <v>150</v>
      </c>
      <c r="N69" s="2">
        <f t="shared" si="4"/>
        <v>62116.470588235294</v>
      </c>
      <c r="O69" s="2">
        <f t="shared" si="5"/>
        <v>2694205.7352941176</v>
      </c>
    </row>
    <row r="70" spans="1:15" x14ac:dyDescent="0.3">
      <c r="A70" s="10" t="s">
        <v>50</v>
      </c>
      <c r="B70" s="5" t="s">
        <v>193</v>
      </c>
      <c r="C70" s="5" t="s">
        <v>58</v>
      </c>
      <c r="D70" s="5" t="s">
        <v>62</v>
      </c>
      <c r="E70" s="5" t="s">
        <v>68</v>
      </c>
      <c r="F70" s="5" t="s">
        <v>74</v>
      </c>
      <c r="G70" s="5" t="s">
        <v>77</v>
      </c>
      <c r="H70" s="5" t="s">
        <v>80</v>
      </c>
      <c r="I70" s="5">
        <v>2</v>
      </c>
      <c r="J70" s="6">
        <v>883103</v>
      </c>
      <c r="K70" s="7">
        <v>51803</v>
      </c>
      <c r="L70" s="8" t="s">
        <v>83</v>
      </c>
      <c r="M70" s="11" t="s">
        <v>151</v>
      </c>
      <c r="N70" s="2">
        <f t="shared" si="4"/>
        <v>63146.666666666664</v>
      </c>
      <c r="O70" s="2">
        <f t="shared" si="5"/>
        <v>2734123.2121212119</v>
      </c>
    </row>
    <row r="71" spans="1:15" x14ac:dyDescent="0.3">
      <c r="A71" s="10" t="s">
        <v>51</v>
      </c>
      <c r="B71" s="5" t="s">
        <v>191</v>
      </c>
      <c r="C71" s="5" t="s">
        <v>57</v>
      </c>
      <c r="D71" s="5" t="s">
        <v>62</v>
      </c>
      <c r="E71" s="5" t="s">
        <v>69</v>
      </c>
      <c r="F71" s="5" t="s">
        <v>73</v>
      </c>
      <c r="G71" s="5" t="s">
        <v>77</v>
      </c>
      <c r="H71" s="5" t="s">
        <v>80</v>
      </c>
      <c r="I71" s="5">
        <v>2</v>
      </c>
      <c r="J71" s="6">
        <v>5963468</v>
      </c>
      <c r="K71" s="7">
        <v>83092</v>
      </c>
      <c r="L71" s="8" t="s">
        <v>83</v>
      </c>
      <c r="M71" s="11" t="s">
        <v>152</v>
      </c>
      <c r="N71" s="2">
        <f t="shared" si="4"/>
        <v>64188.46875</v>
      </c>
      <c r="O71" s="2">
        <f t="shared" si="5"/>
        <v>2772782.09375</v>
      </c>
    </row>
    <row r="72" spans="1:15" x14ac:dyDescent="0.3">
      <c r="A72" s="10" t="s">
        <v>31</v>
      </c>
      <c r="B72" s="5" t="s">
        <v>186</v>
      </c>
      <c r="C72" s="5" t="s">
        <v>57</v>
      </c>
      <c r="D72" s="5" t="s">
        <v>62</v>
      </c>
      <c r="E72" s="5" t="s">
        <v>68</v>
      </c>
      <c r="F72" s="5" t="s">
        <v>71</v>
      </c>
      <c r="G72" s="5" t="s">
        <v>77</v>
      </c>
      <c r="H72" s="5" t="s">
        <v>79</v>
      </c>
      <c r="I72" s="5">
        <v>2</v>
      </c>
      <c r="J72" s="6">
        <v>997545</v>
      </c>
      <c r="K72" s="7">
        <v>72201</v>
      </c>
      <c r="L72" s="8" t="s">
        <v>81</v>
      </c>
      <c r="M72" s="11" t="s">
        <v>153</v>
      </c>
      <c r="N72" s="2">
        <f t="shared" si="4"/>
        <v>64588</v>
      </c>
      <c r="O72" s="2">
        <f t="shared" si="5"/>
        <v>2833739.4838709678</v>
      </c>
    </row>
    <row r="73" spans="1:15" x14ac:dyDescent="0.3">
      <c r="A73" s="10" t="s">
        <v>32</v>
      </c>
      <c r="B73" s="5" t="s">
        <v>184</v>
      </c>
      <c r="C73" s="5" t="s">
        <v>55</v>
      </c>
      <c r="D73" s="5" t="s">
        <v>66</v>
      </c>
      <c r="E73" s="5" t="s">
        <v>67</v>
      </c>
      <c r="F73" s="5" t="s">
        <v>74</v>
      </c>
      <c r="G73" s="5" t="s">
        <v>76</v>
      </c>
      <c r="H73" s="5" t="s">
        <v>80</v>
      </c>
      <c r="I73" s="5">
        <v>2</v>
      </c>
      <c r="J73" s="6">
        <v>1368099</v>
      </c>
      <c r="K73" s="7">
        <v>69539</v>
      </c>
      <c r="L73" s="8" t="s">
        <v>83</v>
      </c>
      <c r="M73" s="11" t="s">
        <v>154</v>
      </c>
      <c r="N73" s="2">
        <f t="shared" si="4"/>
        <v>63971.199999999997</v>
      </c>
      <c r="O73" s="2">
        <f t="shared" si="5"/>
        <v>2729415.2</v>
      </c>
    </row>
    <row r="74" spans="1:15" x14ac:dyDescent="0.3">
      <c r="A74" s="10" t="s">
        <v>52</v>
      </c>
      <c r="B74" s="5" t="s">
        <v>192</v>
      </c>
      <c r="C74" s="5" t="s">
        <v>60</v>
      </c>
      <c r="D74" s="5" t="s">
        <v>62</v>
      </c>
      <c r="E74" s="5" t="s">
        <v>68</v>
      </c>
      <c r="F74" s="5" t="s">
        <v>71</v>
      </c>
      <c r="G74" s="5" t="s">
        <v>77</v>
      </c>
      <c r="H74" s="5" t="s">
        <v>79</v>
      </c>
      <c r="I74" s="5">
        <v>3</v>
      </c>
      <c r="J74" s="6">
        <v>905318</v>
      </c>
      <c r="K74" s="7">
        <v>27343</v>
      </c>
      <c r="L74" s="8" t="s">
        <v>82</v>
      </c>
      <c r="M74" s="11" t="s">
        <v>155</v>
      </c>
      <c r="N74" s="2">
        <f t="shared" si="4"/>
        <v>63687.413793103449</v>
      </c>
      <c r="O74" s="2">
        <f t="shared" si="5"/>
        <v>2789134.8620689656</v>
      </c>
    </row>
    <row r="75" spans="1:15" x14ac:dyDescent="0.3">
      <c r="A75" s="10" t="s">
        <v>26</v>
      </c>
      <c r="B75" s="5" t="s">
        <v>184</v>
      </c>
      <c r="C75" s="5" t="s">
        <v>55</v>
      </c>
      <c r="D75" s="5" t="s">
        <v>63</v>
      </c>
      <c r="E75" s="5" t="s">
        <v>67</v>
      </c>
      <c r="F75" s="5" t="s">
        <v>75</v>
      </c>
      <c r="G75" s="5" t="s">
        <v>78</v>
      </c>
      <c r="H75" s="5" t="s">
        <v>79</v>
      </c>
      <c r="I75" s="5">
        <v>3</v>
      </c>
      <c r="J75" s="6">
        <v>1368096</v>
      </c>
      <c r="K75" s="7">
        <v>55178</v>
      </c>
      <c r="L75" s="8" t="s">
        <v>82</v>
      </c>
      <c r="M75" s="11" t="s">
        <v>156</v>
      </c>
      <c r="N75" s="2">
        <f t="shared" si="4"/>
        <v>63478.428571428572</v>
      </c>
      <c r="O75" s="2">
        <f t="shared" si="5"/>
        <v>2839886.1428571427</v>
      </c>
    </row>
    <row r="76" spans="1:15" x14ac:dyDescent="0.3">
      <c r="A76" s="10" t="s">
        <v>53</v>
      </c>
      <c r="B76" s="5" t="s">
        <v>185</v>
      </c>
      <c r="C76" s="5" t="s">
        <v>56</v>
      </c>
      <c r="D76" s="5" t="s">
        <v>61</v>
      </c>
      <c r="E76" s="5" t="s">
        <v>70</v>
      </c>
      <c r="F76" s="5" t="s">
        <v>72</v>
      </c>
      <c r="G76" s="5" t="s">
        <v>76</v>
      </c>
      <c r="H76" s="5" t="s">
        <v>79</v>
      </c>
      <c r="I76" s="5">
        <v>2</v>
      </c>
      <c r="J76" s="6">
        <v>1511190</v>
      </c>
      <c r="K76" s="7">
        <v>70549</v>
      </c>
      <c r="L76" s="8" t="s">
        <v>83</v>
      </c>
      <c r="M76" s="11" t="s">
        <v>157</v>
      </c>
      <c r="N76" s="2">
        <f t="shared" si="4"/>
        <v>64816.777777777781</v>
      </c>
      <c r="O76" s="2">
        <f t="shared" si="5"/>
        <v>2911536.8148148148</v>
      </c>
    </row>
    <row r="77" spans="1:15" x14ac:dyDescent="0.3">
      <c r="A77" s="10" t="s">
        <v>18</v>
      </c>
      <c r="B77" s="5" t="s">
        <v>188</v>
      </c>
      <c r="C77" s="5" t="s">
        <v>58</v>
      </c>
      <c r="D77" s="5" t="s">
        <v>65</v>
      </c>
      <c r="E77" s="5" t="s">
        <v>67</v>
      </c>
      <c r="F77" s="5" t="s">
        <v>71</v>
      </c>
      <c r="G77" s="5" t="s">
        <v>78</v>
      </c>
      <c r="H77" s="5" t="s">
        <v>80</v>
      </c>
      <c r="I77" s="5">
        <v>1</v>
      </c>
      <c r="J77" s="6">
        <v>1287286</v>
      </c>
      <c r="K77" s="7">
        <v>14679</v>
      </c>
      <c r="L77" s="8" t="s">
        <v>83</v>
      </c>
      <c r="M77" s="11" t="s">
        <v>158</v>
      </c>
      <c r="N77" s="2">
        <f t="shared" si="4"/>
        <v>65187.5</v>
      </c>
      <c r="O77" s="2">
        <f t="shared" si="5"/>
        <v>2970899.923076923</v>
      </c>
    </row>
    <row r="78" spans="1:15" x14ac:dyDescent="0.3">
      <c r="A78" s="10" t="s">
        <v>54</v>
      </c>
      <c r="B78" s="5" t="s">
        <v>190</v>
      </c>
      <c r="C78" s="5" t="s">
        <v>60</v>
      </c>
      <c r="D78" s="5" t="s">
        <v>64</v>
      </c>
      <c r="E78" s="5" t="s">
        <v>69</v>
      </c>
      <c r="F78" s="5" t="s">
        <v>73</v>
      </c>
      <c r="G78" s="5" t="s">
        <v>78</v>
      </c>
      <c r="H78" s="5" t="s">
        <v>80</v>
      </c>
      <c r="I78" s="5">
        <v>3</v>
      </c>
      <c r="J78" s="6">
        <v>6055515</v>
      </c>
      <c r="K78" s="7">
        <v>85683</v>
      </c>
      <c r="L78" s="8" t="s">
        <v>82</v>
      </c>
      <c r="M78" s="11" t="s">
        <v>159</v>
      </c>
      <c r="N78" s="2">
        <f t="shared" si="4"/>
        <v>64973.04</v>
      </c>
      <c r="O78" s="2">
        <f t="shared" si="5"/>
        <v>3029288.32</v>
      </c>
    </row>
    <row r="79" spans="1:15" x14ac:dyDescent="0.3">
      <c r="A79" s="10" t="s">
        <v>48</v>
      </c>
      <c r="B79" s="5" t="s">
        <v>189</v>
      </c>
      <c r="C79" s="5" t="s">
        <v>59</v>
      </c>
      <c r="D79" s="5" t="s">
        <v>65</v>
      </c>
      <c r="E79" s="5" t="s">
        <v>69</v>
      </c>
      <c r="F79" s="5" t="s">
        <v>73</v>
      </c>
      <c r="G79" s="5" t="s">
        <v>76</v>
      </c>
      <c r="H79" s="5" t="s">
        <v>79</v>
      </c>
      <c r="I79" s="5">
        <v>1</v>
      </c>
      <c r="J79" s="6">
        <v>6015632</v>
      </c>
      <c r="K79" s="7">
        <v>53390</v>
      </c>
      <c r="L79" s="8" t="s">
        <v>81</v>
      </c>
      <c r="M79" s="11" t="s">
        <v>160</v>
      </c>
      <c r="N79" s="2">
        <f t="shared" si="4"/>
        <v>67068.625</v>
      </c>
      <c r="O79" s="2">
        <f t="shared" si="5"/>
        <v>3101871.75</v>
      </c>
    </row>
    <row r="80" spans="1:15" x14ac:dyDescent="0.3">
      <c r="A80" s="10" t="s">
        <v>23</v>
      </c>
      <c r="B80" s="5" t="s">
        <v>184</v>
      </c>
      <c r="C80" s="5" t="s">
        <v>55</v>
      </c>
      <c r="D80" s="5" t="s">
        <v>66</v>
      </c>
      <c r="E80" s="5" t="s">
        <v>68</v>
      </c>
      <c r="F80" s="5" t="s">
        <v>71</v>
      </c>
      <c r="G80" s="5" t="s">
        <v>77</v>
      </c>
      <c r="H80" s="5" t="s">
        <v>80</v>
      </c>
      <c r="I80" s="5">
        <v>2</v>
      </c>
      <c r="J80" s="6">
        <v>986043</v>
      </c>
      <c r="K80" s="7">
        <v>52697</v>
      </c>
      <c r="L80" s="8" t="s">
        <v>81</v>
      </c>
      <c r="M80" s="11" t="s">
        <v>161</v>
      </c>
      <c r="N80" s="2">
        <f t="shared" si="4"/>
        <v>66259.304347826081</v>
      </c>
      <c r="O80" s="2">
        <f t="shared" si="5"/>
        <v>2973452.4782608696</v>
      </c>
    </row>
    <row r="81" spans="1:15" x14ac:dyDescent="0.3">
      <c r="A81" s="10" t="s">
        <v>18</v>
      </c>
      <c r="B81" s="5" t="s">
        <v>188</v>
      </c>
      <c r="C81" s="5" t="s">
        <v>58</v>
      </c>
      <c r="D81" s="5" t="s">
        <v>61</v>
      </c>
      <c r="E81" s="5" t="s">
        <v>68</v>
      </c>
      <c r="F81" s="5" t="s">
        <v>72</v>
      </c>
      <c r="G81" s="5" t="s">
        <v>77</v>
      </c>
      <c r="H81" s="5" t="s">
        <v>79</v>
      </c>
      <c r="I81" s="5">
        <v>2</v>
      </c>
      <c r="J81" s="6">
        <v>957046</v>
      </c>
      <c r="K81" s="7">
        <v>31843</v>
      </c>
      <c r="L81" s="8" t="s">
        <v>83</v>
      </c>
      <c r="M81" s="11" t="s">
        <v>162</v>
      </c>
      <c r="N81" s="2">
        <f t="shared" si="4"/>
        <v>66844.272727272721</v>
      </c>
      <c r="O81" s="2">
        <f t="shared" si="5"/>
        <v>2835171.5909090908</v>
      </c>
    </row>
    <row r="82" spans="1:15" x14ac:dyDescent="0.3">
      <c r="A82" s="10" t="s">
        <v>20</v>
      </c>
      <c r="B82" s="5" t="s">
        <v>190</v>
      </c>
      <c r="C82" s="5" t="s">
        <v>60</v>
      </c>
      <c r="D82" s="5" t="s">
        <v>62</v>
      </c>
      <c r="E82" s="5" t="s">
        <v>69</v>
      </c>
      <c r="F82" s="5" t="s">
        <v>73</v>
      </c>
      <c r="G82" s="5" t="s">
        <v>78</v>
      </c>
      <c r="H82" s="5" t="s">
        <v>79</v>
      </c>
      <c r="I82" s="5">
        <v>3</v>
      </c>
      <c r="J82" s="6">
        <v>6054976</v>
      </c>
      <c r="K82" s="7">
        <v>149680</v>
      </c>
      <c r="L82" s="8" t="s">
        <v>83</v>
      </c>
      <c r="M82" s="11" t="s">
        <v>163</v>
      </c>
      <c r="N82" s="2">
        <f t="shared" si="4"/>
        <v>67517.952380952382</v>
      </c>
      <c r="O82" s="2">
        <f t="shared" si="5"/>
        <v>2923225.3333333335</v>
      </c>
    </row>
    <row r="83" spans="1:15" x14ac:dyDescent="0.3">
      <c r="A83" s="10" t="s">
        <v>43</v>
      </c>
      <c r="B83" s="5" t="s">
        <v>184</v>
      </c>
      <c r="C83" s="5" t="s">
        <v>55</v>
      </c>
      <c r="D83" s="5" t="s">
        <v>61</v>
      </c>
      <c r="E83" s="5" t="s">
        <v>70</v>
      </c>
      <c r="F83" s="5" t="s">
        <v>75</v>
      </c>
      <c r="G83" s="5" t="s">
        <v>76</v>
      </c>
      <c r="H83" s="5" t="s">
        <v>80</v>
      </c>
      <c r="I83" s="5">
        <v>1</v>
      </c>
      <c r="J83" s="6">
        <v>1584898</v>
      </c>
      <c r="K83" s="7">
        <v>64062</v>
      </c>
      <c r="L83" s="8" t="s">
        <v>83</v>
      </c>
      <c r="M83" s="11" t="s">
        <v>164</v>
      </c>
      <c r="N83" s="2">
        <f t="shared" si="4"/>
        <v>69301.7</v>
      </c>
      <c r="O83" s="2">
        <f t="shared" si="5"/>
        <v>3021534.3</v>
      </c>
    </row>
    <row r="84" spans="1:15" x14ac:dyDescent="0.3">
      <c r="A84" s="10" t="s">
        <v>16</v>
      </c>
      <c r="B84" s="5" t="s">
        <v>188</v>
      </c>
      <c r="C84" s="5" t="s">
        <v>58</v>
      </c>
      <c r="D84" s="5" t="s">
        <v>62</v>
      </c>
      <c r="E84" s="5" t="s">
        <v>67</v>
      </c>
      <c r="F84" s="5" t="s">
        <v>74</v>
      </c>
      <c r="G84" s="5" t="s">
        <v>77</v>
      </c>
      <c r="H84" s="5" t="s">
        <v>80</v>
      </c>
      <c r="I84" s="5">
        <v>2</v>
      </c>
      <c r="J84" s="6">
        <v>1380676</v>
      </c>
      <c r="K84" s="7">
        <v>50986</v>
      </c>
      <c r="L84" s="8" t="s">
        <v>81</v>
      </c>
      <c r="M84" s="11" t="s">
        <v>165</v>
      </c>
      <c r="N84" s="2">
        <f t="shared" si="4"/>
        <v>65071.26315789474</v>
      </c>
      <c r="O84" s="2">
        <f t="shared" si="5"/>
        <v>2861879.4736842103</v>
      </c>
    </row>
    <row r="85" spans="1:15" x14ac:dyDescent="0.3">
      <c r="A85" s="10" t="s">
        <v>47</v>
      </c>
      <c r="B85" s="5" t="s">
        <v>190</v>
      </c>
      <c r="C85" s="5" t="s">
        <v>60</v>
      </c>
      <c r="D85" s="5" t="s">
        <v>61</v>
      </c>
      <c r="E85" s="5" t="s">
        <v>70</v>
      </c>
      <c r="F85" s="5" t="s">
        <v>72</v>
      </c>
      <c r="G85" s="5" t="s">
        <v>76</v>
      </c>
      <c r="H85" s="5" t="s">
        <v>79</v>
      </c>
      <c r="I85" s="5">
        <v>1</v>
      </c>
      <c r="J85" s="6">
        <v>1577064</v>
      </c>
      <c r="K85" s="7">
        <v>17957</v>
      </c>
      <c r="L85" s="8" t="s">
        <v>81</v>
      </c>
      <c r="M85" s="11" t="s">
        <v>166</v>
      </c>
      <c r="N85" s="2">
        <f t="shared" si="4"/>
        <v>65127.333333333336</v>
      </c>
      <c r="O85" s="2">
        <f t="shared" si="5"/>
        <v>2932822.888888889</v>
      </c>
    </row>
    <row r="86" spans="1:15" x14ac:dyDescent="0.3">
      <c r="A86" s="10" t="s">
        <v>12</v>
      </c>
      <c r="B86" s="5" t="s">
        <v>185</v>
      </c>
      <c r="C86" s="5" t="s">
        <v>56</v>
      </c>
      <c r="D86" s="5" t="s">
        <v>65</v>
      </c>
      <c r="E86" s="5" t="s">
        <v>70</v>
      </c>
      <c r="F86" s="5" t="s">
        <v>74</v>
      </c>
      <c r="G86" s="5" t="s">
        <v>77</v>
      </c>
      <c r="H86" s="5" t="s">
        <v>80</v>
      </c>
      <c r="I86" s="5">
        <v>1</v>
      </c>
      <c r="J86" s="6">
        <v>1594769</v>
      </c>
      <c r="K86" s="7">
        <v>36738</v>
      </c>
      <c r="L86" s="8" t="s">
        <v>82</v>
      </c>
      <c r="M86" s="11" t="s">
        <v>167</v>
      </c>
      <c r="N86" s="2">
        <f t="shared" si="4"/>
        <v>65959.176470588238</v>
      </c>
      <c r="O86" s="2">
        <f t="shared" si="5"/>
        <v>3024125.6470588236</v>
      </c>
    </row>
    <row r="87" spans="1:15" x14ac:dyDescent="0.3">
      <c r="A87" s="10" t="s">
        <v>50</v>
      </c>
      <c r="B87" s="5" t="s">
        <v>194</v>
      </c>
      <c r="C87" s="5" t="s">
        <v>59</v>
      </c>
      <c r="D87" s="5" t="s">
        <v>63</v>
      </c>
      <c r="E87" s="5" t="s">
        <v>69</v>
      </c>
      <c r="F87" s="5" t="s">
        <v>73</v>
      </c>
      <c r="G87" s="5" t="s">
        <v>77</v>
      </c>
      <c r="H87" s="5" t="s">
        <v>80</v>
      </c>
      <c r="I87" s="5">
        <v>2</v>
      </c>
      <c r="J87" s="6">
        <v>6021676</v>
      </c>
      <c r="K87" s="7">
        <v>104459</v>
      </c>
      <c r="L87" s="8" t="s">
        <v>81</v>
      </c>
      <c r="M87" s="11" t="s">
        <v>168</v>
      </c>
      <c r="N87" s="2">
        <f t="shared" si="4"/>
        <v>68959.3125</v>
      </c>
      <c r="O87" s="2">
        <f t="shared" si="5"/>
        <v>3114567</v>
      </c>
    </row>
    <row r="88" spans="1:15" x14ac:dyDescent="0.3">
      <c r="A88" s="10" t="s">
        <v>40</v>
      </c>
      <c r="B88" s="5" t="s">
        <v>194</v>
      </c>
      <c r="C88" s="5" t="s">
        <v>59</v>
      </c>
      <c r="D88" s="5" t="s">
        <v>62</v>
      </c>
      <c r="E88" s="5" t="s">
        <v>69</v>
      </c>
      <c r="F88" s="5" t="s">
        <v>71</v>
      </c>
      <c r="G88" s="5" t="s">
        <v>78</v>
      </c>
      <c r="H88" s="5" t="s">
        <v>80</v>
      </c>
      <c r="I88" s="5">
        <v>1</v>
      </c>
      <c r="J88" s="6">
        <v>6083232</v>
      </c>
      <c r="K88" s="7">
        <v>147818</v>
      </c>
      <c r="L88" s="8" t="s">
        <v>83</v>
      </c>
      <c r="M88" s="11" t="s">
        <v>169</v>
      </c>
      <c r="N88" s="2">
        <f t="shared" si="4"/>
        <v>71107.399999999994</v>
      </c>
      <c r="O88" s="2">
        <f t="shared" si="5"/>
        <v>3215886.8666666667</v>
      </c>
    </row>
    <row r="89" spans="1:15" x14ac:dyDescent="0.3">
      <c r="A89" s="10" t="s">
        <v>50</v>
      </c>
      <c r="B89" s="5" t="s">
        <v>190</v>
      </c>
      <c r="C89" s="5" t="s">
        <v>60</v>
      </c>
      <c r="D89" s="5" t="s">
        <v>64</v>
      </c>
      <c r="E89" s="5" t="s">
        <v>68</v>
      </c>
      <c r="F89" s="5" t="s">
        <v>73</v>
      </c>
      <c r="G89" s="5" t="s">
        <v>76</v>
      </c>
      <c r="H89" s="5" t="s">
        <v>80</v>
      </c>
      <c r="I89" s="5">
        <v>3</v>
      </c>
      <c r="J89" s="6">
        <v>928264</v>
      </c>
      <c r="K89" s="7">
        <v>64884</v>
      </c>
      <c r="L89" s="8" t="s">
        <v>82</v>
      </c>
      <c r="M89" s="11" t="s">
        <v>170</v>
      </c>
      <c r="N89" s="2">
        <f t="shared" si="4"/>
        <v>68725.142857142855</v>
      </c>
      <c r="O89" s="2">
        <f t="shared" si="5"/>
        <v>3015473.3571428573</v>
      </c>
    </row>
    <row r="90" spans="1:15" x14ac:dyDescent="0.3">
      <c r="A90" s="10" t="s">
        <v>44</v>
      </c>
      <c r="B90" s="5" t="s">
        <v>188</v>
      </c>
      <c r="C90" s="5" t="s">
        <v>58</v>
      </c>
      <c r="D90" s="5" t="s">
        <v>63</v>
      </c>
      <c r="E90" s="5" t="s">
        <v>69</v>
      </c>
      <c r="F90" s="5" t="s">
        <v>73</v>
      </c>
      <c r="G90" s="5" t="s">
        <v>78</v>
      </c>
      <c r="H90" s="5" t="s">
        <v>80</v>
      </c>
      <c r="I90" s="5">
        <v>3</v>
      </c>
      <c r="J90" s="6">
        <v>6094681</v>
      </c>
      <c r="K90" s="7">
        <v>149991</v>
      </c>
      <c r="L90" s="8" t="s">
        <v>82</v>
      </c>
      <c r="M90" s="11" t="s">
        <v>171</v>
      </c>
      <c r="N90" s="2">
        <f t="shared" si="4"/>
        <v>62641.076923076922</v>
      </c>
      <c r="O90" s="2">
        <f t="shared" si="5"/>
        <v>2779491.923076923</v>
      </c>
    </row>
    <row r="91" spans="1:15" x14ac:dyDescent="0.3">
      <c r="A91" s="10" t="s">
        <v>27</v>
      </c>
      <c r="B91" s="5" t="s">
        <v>184</v>
      </c>
      <c r="C91" s="5" t="s">
        <v>55</v>
      </c>
      <c r="D91" s="5" t="s">
        <v>63</v>
      </c>
      <c r="E91" s="5" t="s">
        <v>69</v>
      </c>
      <c r="F91" s="5" t="s">
        <v>71</v>
      </c>
      <c r="G91" s="5" t="s">
        <v>76</v>
      </c>
      <c r="H91" s="5" t="s">
        <v>80</v>
      </c>
      <c r="I91" s="5">
        <v>3</v>
      </c>
      <c r="J91" s="6">
        <v>5961441</v>
      </c>
      <c r="K91" s="7">
        <v>91704</v>
      </c>
      <c r="L91" s="8" t="s">
        <v>83</v>
      </c>
      <c r="M91" s="11" t="s">
        <v>172</v>
      </c>
      <c r="N91" s="2">
        <f t="shared" si="4"/>
        <v>62454.166666666664</v>
      </c>
      <c r="O91" s="2">
        <f t="shared" si="5"/>
        <v>2933760.9166666665</v>
      </c>
    </row>
    <row r="92" spans="1:15" x14ac:dyDescent="0.3">
      <c r="A92" s="10" t="s">
        <v>53</v>
      </c>
      <c r="B92" s="5" t="s">
        <v>191</v>
      </c>
      <c r="C92" s="5" t="s">
        <v>57</v>
      </c>
      <c r="D92" s="5" t="s">
        <v>62</v>
      </c>
      <c r="E92" s="5" t="s">
        <v>69</v>
      </c>
      <c r="F92" s="5" t="s">
        <v>75</v>
      </c>
      <c r="G92" s="5" t="s">
        <v>78</v>
      </c>
      <c r="H92" s="5" t="s">
        <v>79</v>
      </c>
      <c r="I92" s="5">
        <v>2</v>
      </c>
      <c r="J92" s="6">
        <v>6081672</v>
      </c>
      <c r="K92" s="7">
        <v>127356</v>
      </c>
      <c r="L92" s="8" t="s">
        <v>81</v>
      </c>
      <c r="M92" s="11" t="s">
        <v>173</v>
      </c>
      <c r="N92" s="2">
        <f t="shared" si="4"/>
        <v>54496.272727272728</v>
      </c>
      <c r="O92" s="2">
        <f t="shared" si="5"/>
        <v>2646404.5454545454</v>
      </c>
    </row>
    <row r="93" spans="1:15" x14ac:dyDescent="0.3">
      <c r="A93" s="10" t="s">
        <v>16</v>
      </c>
      <c r="B93" s="5" t="s">
        <v>184</v>
      </c>
      <c r="C93" s="5" t="s">
        <v>55</v>
      </c>
      <c r="D93" s="5" t="s">
        <v>66</v>
      </c>
      <c r="E93" s="5" t="s">
        <v>68</v>
      </c>
      <c r="F93" s="5" t="s">
        <v>71</v>
      </c>
      <c r="G93" s="5" t="s">
        <v>78</v>
      </c>
      <c r="H93" s="5" t="s">
        <v>80</v>
      </c>
      <c r="I93" s="5">
        <v>2</v>
      </c>
      <c r="J93" s="6">
        <v>890464</v>
      </c>
      <c r="K93" s="7">
        <v>14903</v>
      </c>
      <c r="L93" s="8" t="s">
        <v>81</v>
      </c>
      <c r="M93" s="11" t="s">
        <v>174</v>
      </c>
      <c r="N93" s="2">
        <f t="shared" si="4"/>
        <v>50775.5</v>
      </c>
      <c r="O93" s="2">
        <f t="shared" si="5"/>
        <v>2314900.9</v>
      </c>
    </row>
    <row r="94" spans="1:15" x14ac:dyDescent="0.3">
      <c r="A94" s="10" t="s">
        <v>34</v>
      </c>
      <c r="B94" s="5" t="s">
        <v>184</v>
      </c>
      <c r="C94" s="5" t="s">
        <v>55</v>
      </c>
      <c r="D94" s="5" t="s">
        <v>63</v>
      </c>
      <c r="E94" s="5" t="s">
        <v>70</v>
      </c>
      <c r="F94" s="5" t="s">
        <v>74</v>
      </c>
      <c r="G94" s="5" t="s">
        <v>76</v>
      </c>
      <c r="H94" s="5" t="s">
        <v>79</v>
      </c>
      <c r="I94" s="5">
        <v>3</v>
      </c>
      <c r="J94" s="6">
        <v>1533010</v>
      </c>
      <c r="K94" s="7">
        <v>51077</v>
      </c>
      <c r="L94" s="8" t="s">
        <v>81</v>
      </c>
      <c r="M94" s="11" t="s">
        <v>175</v>
      </c>
      <c r="N94" s="2">
        <f t="shared" si="4"/>
        <v>42266.555555555555</v>
      </c>
      <c r="O94" s="2">
        <f t="shared" si="5"/>
        <v>1896370.7777777778</v>
      </c>
    </row>
    <row r="95" spans="1:15" x14ac:dyDescent="0.3">
      <c r="A95" s="10" t="s">
        <v>21</v>
      </c>
      <c r="B95" s="5" t="s">
        <v>186</v>
      </c>
      <c r="C95" s="5" t="s">
        <v>57</v>
      </c>
      <c r="D95" s="5" t="s">
        <v>61</v>
      </c>
      <c r="E95" s="5" t="s">
        <v>67</v>
      </c>
      <c r="F95" s="5" t="s">
        <v>73</v>
      </c>
      <c r="G95" s="5" t="s">
        <v>76</v>
      </c>
      <c r="H95" s="5" t="s">
        <v>79</v>
      </c>
      <c r="I95" s="5">
        <v>1</v>
      </c>
      <c r="J95" s="6">
        <v>1273692</v>
      </c>
      <c r="K95" s="7">
        <v>38440</v>
      </c>
      <c r="L95" s="8" t="s">
        <v>83</v>
      </c>
      <c r="M95" s="11" t="s">
        <v>176</v>
      </c>
      <c r="N95" s="2">
        <f t="shared" si="4"/>
        <v>45687</v>
      </c>
      <c r="O95" s="2">
        <f t="shared" si="5"/>
        <v>2022109.125</v>
      </c>
    </row>
    <row r="96" spans="1:15" x14ac:dyDescent="0.3">
      <c r="A96" s="10" t="s">
        <v>33</v>
      </c>
      <c r="B96" s="5" t="s">
        <v>185</v>
      </c>
      <c r="C96" s="5" t="s">
        <v>56</v>
      </c>
      <c r="D96" s="5" t="s">
        <v>66</v>
      </c>
      <c r="E96" s="5" t="s">
        <v>70</v>
      </c>
      <c r="F96" s="5" t="s">
        <v>75</v>
      </c>
      <c r="G96" s="5" t="s">
        <v>78</v>
      </c>
      <c r="H96" s="5" t="s">
        <v>80</v>
      </c>
      <c r="I96" s="5">
        <v>1</v>
      </c>
      <c r="J96" s="6">
        <v>1535032</v>
      </c>
      <c r="K96" s="7">
        <v>62176</v>
      </c>
      <c r="L96" s="8" t="s">
        <v>83</v>
      </c>
      <c r="M96" s="11" t="s">
        <v>177</v>
      </c>
      <c r="N96" s="2">
        <f t="shared" si="4"/>
        <v>44917</v>
      </c>
      <c r="O96" s="2">
        <f t="shared" si="5"/>
        <v>2091980.4285714286</v>
      </c>
    </row>
    <row r="97" spans="1:15" x14ac:dyDescent="0.3">
      <c r="A97" s="10" t="s">
        <v>52</v>
      </c>
      <c r="B97" s="5" t="s">
        <v>184</v>
      </c>
      <c r="C97" s="5" t="s">
        <v>55</v>
      </c>
      <c r="D97" s="5" t="s">
        <v>65</v>
      </c>
      <c r="E97" s="5" t="s">
        <v>67</v>
      </c>
      <c r="F97" s="5" t="s">
        <v>74</v>
      </c>
      <c r="G97" s="5" t="s">
        <v>77</v>
      </c>
      <c r="H97" s="5" t="s">
        <v>79</v>
      </c>
      <c r="I97" s="5">
        <v>1</v>
      </c>
      <c r="J97" s="6">
        <v>1398354</v>
      </c>
      <c r="K97" s="7">
        <v>54682</v>
      </c>
      <c r="L97" s="8" t="s">
        <v>81</v>
      </c>
      <c r="M97" s="11" t="s">
        <v>178</v>
      </c>
      <c r="N97" s="2">
        <f t="shared" si="4"/>
        <v>45996.5</v>
      </c>
      <c r="O97" s="2">
        <f t="shared" si="5"/>
        <v>2228361.8333333335</v>
      </c>
    </row>
    <row r="98" spans="1:15" x14ac:dyDescent="0.3">
      <c r="A98" s="10" t="s">
        <v>29</v>
      </c>
      <c r="B98" s="5" t="s">
        <v>189</v>
      </c>
      <c r="C98" s="5" t="s">
        <v>59</v>
      </c>
      <c r="D98" s="5" t="s">
        <v>61</v>
      </c>
      <c r="E98" s="5" t="s">
        <v>67</v>
      </c>
      <c r="F98" s="5" t="s">
        <v>72</v>
      </c>
      <c r="G98" s="5" t="s">
        <v>78</v>
      </c>
      <c r="H98" s="5" t="s">
        <v>80</v>
      </c>
      <c r="I98" s="5">
        <v>2</v>
      </c>
      <c r="J98" s="6">
        <v>1287517</v>
      </c>
      <c r="K98" s="7">
        <v>25216</v>
      </c>
      <c r="L98" s="8" t="s">
        <v>83</v>
      </c>
      <c r="M98" s="11" t="s">
        <v>179</v>
      </c>
      <c r="N98" s="2">
        <f t="shared" ref="N98:N101" si="6">AVERAGE(K97:K197)</f>
        <v>42760.6</v>
      </c>
      <c r="O98" s="2">
        <f t="shared" ref="O98:O101" si="7">AVERAGE(J97:J197)</f>
        <v>2367027.7999999998</v>
      </c>
    </row>
    <row r="99" spans="1:15" x14ac:dyDescent="0.3">
      <c r="A99" s="10" t="s">
        <v>12</v>
      </c>
      <c r="B99" s="5" t="s">
        <v>190</v>
      </c>
      <c r="C99" s="5" t="s">
        <v>60</v>
      </c>
      <c r="D99" s="5" t="s">
        <v>63</v>
      </c>
      <c r="E99" s="5" t="s">
        <v>69</v>
      </c>
      <c r="F99" s="5" t="s">
        <v>73</v>
      </c>
      <c r="G99" s="5" t="s">
        <v>78</v>
      </c>
      <c r="H99" s="5" t="s">
        <v>80</v>
      </c>
      <c r="I99" s="5">
        <v>1</v>
      </c>
      <c r="J99" s="6">
        <v>6093287</v>
      </c>
      <c r="K99" s="7">
        <v>70706</v>
      </c>
      <c r="L99" s="8" t="s">
        <v>81</v>
      </c>
      <c r="M99" s="11" t="s">
        <v>180</v>
      </c>
      <c r="N99" s="2">
        <f t="shared" si="6"/>
        <v>39780.25</v>
      </c>
      <c r="O99" s="2">
        <f t="shared" si="7"/>
        <v>2609196.25</v>
      </c>
    </row>
    <row r="100" spans="1:15" x14ac:dyDescent="0.3">
      <c r="A100" s="10" t="s">
        <v>40</v>
      </c>
      <c r="B100" s="5" t="s">
        <v>193</v>
      </c>
      <c r="C100" s="5" t="s">
        <v>58</v>
      </c>
      <c r="D100" s="5" t="s">
        <v>62</v>
      </c>
      <c r="E100" s="5" t="s">
        <v>70</v>
      </c>
      <c r="F100" s="5" t="s">
        <v>72</v>
      </c>
      <c r="G100" s="5" t="s">
        <v>77</v>
      </c>
      <c r="H100" s="5" t="s">
        <v>80</v>
      </c>
      <c r="I100" s="5">
        <v>2</v>
      </c>
      <c r="J100" s="6">
        <v>1502223</v>
      </c>
      <c r="K100" s="7">
        <v>35211</v>
      </c>
      <c r="L100" s="8" t="s">
        <v>81</v>
      </c>
      <c r="M100" s="11" t="s">
        <v>181</v>
      </c>
      <c r="N100" s="2">
        <f t="shared" si="6"/>
        <v>44635</v>
      </c>
      <c r="O100" s="2">
        <f t="shared" si="7"/>
        <v>3049756</v>
      </c>
    </row>
    <row r="101" spans="1:15" x14ac:dyDescent="0.3">
      <c r="A101" s="18" t="s">
        <v>22</v>
      </c>
      <c r="B101" s="19" t="s">
        <v>187</v>
      </c>
      <c r="C101" s="19" t="s">
        <v>56</v>
      </c>
      <c r="D101" s="19" t="s">
        <v>64</v>
      </c>
      <c r="E101" s="19" t="s">
        <v>70</v>
      </c>
      <c r="F101" s="19" t="s">
        <v>73</v>
      </c>
      <c r="G101" s="19" t="s">
        <v>76</v>
      </c>
      <c r="H101" s="19" t="s">
        <v>79</v>
      </c>
      <c r="I101" s="19">
        <v>1</v>
      </c>
      <c r="J101" s="20">
        <v>1553758</v>
      </c>
      <c r="K101" s="21">
        <v>27988</v>
      </c>
      <c r="L101" s="22" t="s">
        <v>81</v>
      </c>
      <c r="M101" s="23" t="s">
        <v>182</v>
      </c>
      <c r="N101" s="2">
        <f t="shared" si="6"/>
        <v>31599.5</v>
      </c>
      <c r="O101" s="2">
        <f t="shared" si="7"/>
        <v>1527990.5</v>
      </c>
    </row>
  </sheetData>
  <dataConsolidate/>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3B788-ACEE-45BA-B5B5-091658FCF221}">
  <dimension ref="C5:Q94"/>
  <sheetViews>
    <sheetView topLeftCell="A79" workbookViewId="0">
      <selection activeCell="I92" sqref="I92"/>
    </sheetView>
  </sheetViews>
  <sheetFormatPr defaultRowHeight="14.4" x14ac:dyDescent="0.3"/>
  <cols>
    <col min="3" max="3" width="12.5546875" bestFit="1" customWidth="1"/>
    <col min="4" max="4" width="18.44140625" bestFit="1" customWidth="1"/>
    <col min="5" max="6" width="17.6640625" bestFit="1" customWidth="1"/>
    <col min="8" max="8" width="12.5546875" bestFit="1" customWidth="1"/>
    <col min="9" max="10" width="16" bestFit="1" customWidth="1"/>
    <col min="12" max="12" width="12.5546875" bestFit="1" customWidth="1"/>
    <col min="13" max="13" width="17.6640625" bestFit="1" customWidth="1"/>
    <col min="14" max="14" width="16" bestFit="1" customWidth="1"/>
    <col min="15" max="15" width="7" bestFit="1" customWidth="1"/>
    <col min="16" max="16" width="6" bestFit="1" customWidth="1"/>
    <col min="17" max="17" width="10.77734375" bestFit="1" customWidth="1"/>
  </cols>
  <sheetData>
    <row r="5" spans="3:14" x14ac:dyDescent="0.3">
      <c r="C5" s="24" t="s">
        <v>196</v>
      </c>
      <c r="D5" t="s">
        <v>198</v>
      </c>
    </row>
    <row r="6" spans="3:14" x14ac:dyDescent="0.3">
      <c r="C6" s="25" t="s">
        <v>70</v>
      </c>
      <c r="D6" s="2">
        <v>38403882</v>
      </c>
    </row>
    <row r="7" spans="3:14" x14ac:dyDescent="0.3">
      <c r="C7" s="25" t="s">
        <v>69</v>
      </c>
      <c r="D7" s="2">
        <v>162883259</v>
      </c>
    </row>
    <row r="8" spans="3:14" x14ac:dyDescent="0.3">
      <c r="C8" s="25" t="s">
        <v>67</v>
      </c>
      <c r="D8" s="2">
        <v>32019513</v>
      </c>
    </row>
    <row r="9" spans="3:14" x14ac:dyDescent="0.3">
      <c r="C9" s="25" t="s">
        <v>68</v>
      </c>
      <c r="D9" s="2">
        <v>22298178</v>
      </c>
      <c r="H9" s="24" t="s">
        <v>196</v>
      </c>
      <c r="I9" t="s">
        <v>200</v>
      </c>
    </row>
    <row r="10" spans="3:14" x14ac:dyDescent="0.3">
      <c r="C10" s="25" t="s">
        <v>197</v>
      </c>
      <c r="D10" s="2">
        <v>255604832</v>
      </c>
      <c r="H10" s="25" t="s">
        <v>62</v>
      </c>
      <c r="I10">
        <v>38</v>
      </c>
      <c r="L10" s="24" t="s">
        <v>196</v>
      </c>
      <c r="M10" t="s">
        <v>199</v>
      </c>
      <c r="N10" t="s">
        <v>200</v>
      </c>
    </row>
    <row r="11" spans="3:14" x14ac:dyDescent="0.3">
      <c r="H11" s="25" t="s">
        <v>61</v>
      </c>
      <c r="I11">
        <v>25</v>
      </c>
      <c r="L11" s="25" t="s">
        <v>55</v>
      </c>
      <c r="M11">
        <v>21</v>
      </c>
      <c r="N11">
        <v>40</v>
      </c>
    </row>
    <row r="12" spans="3:14" x14ac:dyDescent="0.3">
      <c r="H12" s="25" t="s">
        <v>65</v>
      </c>
      <c r="I12">
        <v>33</v>
      </c>
      <c r="L12" s="25" t="s">
        <v>60</v>
      </c>
      <c r="M12">
        <v>16</v>
      </c>
      <c r="N12">
        <v>37</v>
      </c>
    </row>
    <row r="13" spans="3:14" x14ac:dyDescent="0.3">
      <c r="H13" s="25" t="s">
        <v>63</v>
      </c>
      <c r="I13">
        <v>45</v>
      </c>
      <c r="L13" s="25" t="s">
        <v>56</v>
      </c>
      <c r="M13">
        <v>15</v>
      </c>
      <c r="N13">
        <v>29</v>
      </c>
    </row>
    <row r="14" spans="3:14" x14ac:dyDescent="0.3">
      <c r="H14" s="25" t="s">
        <v>66</v>
      </c>
      <c r="I14">
        <v>24</v>
      </c>
      <c r="L14" s="25" t="s">
        <v>59</v>
      </c>
      <c r="M14">
        <v>16</v>
      </c>
      <c r="N14">
        <v>32</v>
      </c>
    </row>
    <row r="15" spans="3:14" x14ac:dyDescent="0.3">
      <c r="H15" s="25" t="s">
        <v>64</v>
      </c>
      <c r="I15">
        <v>38</v>
      </c>
      <c r="L15" s="25" t="s">
        <v>57</v>
      </c>
      <c r="M15">
        <v>19</v>
      </c>
      <c r="N15">
        <v>37</v>
      </c>
    </row>
    <row r="16" spans="3:14" x14ac:dyDescent="0.3">
      <c r="H16" s="25" t="s">
        <v>197</v>
      </c>
      <c r="I16">
        <v>203</v>
      </c>
      <c r="L16" s="25" t="s">
        <v>58</v>
      </c>
      <c r="M16">
        <v>13</v>
      </c>
      <c r="N16">
        <v>28</v>
      </c>
    </row>
    <row r="17" spans="12:14" x14ac:dyDescent="0.3">
      <c r="L17" s="25" t="s">
        <v>197</v>
      </c>
      <c r="M17">
        <v>100</v>
      </c>
      <c r="N17">
        <v>203</v>
      </c>
    </row>
    <row r="71" spans="3:17" x14ac:dyDescent="0.3">
      <c r="I71" s="27"/>
      <c r="J71" s="28"/>
      <c r="K71" s="29"/>
    </row>
    <row r="72" spans="3:17" x14ac:dyDescent="0.3">
      <c r="I72" s="30"/>
      <c r="J72" s="31"/>
      <c r="K72" s="32"/>
      <c r="M72" s="24" t="s">
        <v>200</v>
      </c>
      <c r="N72" s="24" t="s">
        <v>205</v>
      </c>
    </row>
    <row r="73" spans="3:17" x14ac:dyDescent="0.3">
      <c r="I73" s="30"/>
      <c r="J73" s="31"/>
      <c r="K73" s="32"/>
      <c r="M73" s="24" t="s">
        <v>196</v>
      </c>
      <c r="N73" t="s">
        <v>78</v>
      </c>
      <c r="O73" t="s">
        <v>76</v>
      </c>
      <c r="P73" t="s">
        <v>77</v>
      </c>
      <c r="Q73" t="s">
        <v>197</v>
      </c>
    </row>
    <row r="74" spans="3:17" x14ac:dyDescent="0.3">
      <c r="I74" s="30"/>
      <c r="J74" s="31"/>
      <c r="K74" s="32"/>
      <c r="M74" s="25" t="s">
        <v>70</v>
      </c>
      <c r="N74">
        <v>9</v>
      </c>
      <c r="O74">
        <v>21</v>
      </c>
      <c r="P74">
        <v>16</v>
      </c>
      <c r="Q74">
        <v>46</v>
      </c>
    </row>
    <row r="75" spans="3:17" x14ac:dyDescent="0.3">
      <c r="I75" s="30"/>
      <c r="J75" s="31"/>
      <c r="K75" s="32"/>
      <c r="M75" s="25" t="s">
        <v>69</v>
      </c>
      <c r="N75">
        <v>21</v>
      </c>
      <c r="O75">
        <v>24</v>
      </c>
      <c r="P75">
        <v>11</v>
      </c>
      <c r="Q75">
        <v>56</v>
      </c>
    </row>
    <row r="76" spans="3:17" x14ac:dyDescent="0.3">
      <c r="I76" s="30"/>
      <c r="J76" s="31"/>
      <c r="K76" s="32"/>
      <c r="M76" s="25" t="s">
        <v>67</v>
      </c>
      <c r="N76">
        <v>14</v>
      </c>
      <c r="O76">
        <v>21</v>
      </c>
      <c r="P76">
        <v>13</v>
      </c>
      <c r="Q76">
        <v>48</v>
      </c>
    </row>
    <row r="77" spans="3:17" x14ac:dyDescent="0.3">
      <c r="I77" s="30"/>
      <c r="J77" s="31"/>
      <c r="K77" s="32"/>
      <c r="M77" s="25" t="s">
        <v>68</v>
      </c>
      <c r="N77">
        <v>21</v>
      </c>
      <c r="O77">
        <v>10</v>
      </c>
      <c r="P77">
        <v>22</v>
      </c>
      <c r="Q77">
        <v>53</v>
      </c>
    </row>
    <row r="78" spans="3:17" x14ac:dyDescent="0.3">
      <c r="C78" s="24" t="s">
        <v>196</v>
      </c>
      <c r="D78" t="s">
        <v>203</v>
      </c>
      <c r="E78" t="s">
        <v>204</v>
      </c>
      <c r="I78" s="30"/>
      <c r="J78" s="31"/>
      <c r="K78" s="32"/>
      <c r="M78" s="25" t="s">
        <v>197</v>
      </c>
      <c r="N78">
        <v>65</v>
      </c>
      <c r="O78">
        <v>76</v>
      </c>
      <c r="P78">
        <v>62</v>
      </c>
      <c r="Q78">
        <v>203</v>
      </c>
    </row>
    <row r="79" spans="3:17" x14ac:dyDescent="0.3">
      <c r="C79" s="25" t="s">
        <v>70</v>
      </c>
      <c r="D79" s="2">
        <v>1429104.7646542168</v>
      </c>
      <c r="E79" s="2">
        <v>65074136.038835451</v>
      </c>
      <c r="I79" s="30"/>
      <c r="J79" s="31"/>
      <c r="K79" s="32"/>
    </row>
    <row r="80" spans="3:17" x14ac:dyDescent="0.3">
      <c r="C80" s="25" t="s">
        <v>69</v>
      </c>
      <c r="D80" s="2">
        <v>1624676.7580477202</v>
      </c>
      <c r="E80" s="2">
        <v>74341562.301355928</v>
      </c>
      <c r="I80" s="30"/>
      <c r="J80" s="31"/>
      <c r="K80" s="32"/>
    </row>
    <row r="81" spans="3:11" x14ac:dyDescent="0.3">
      <c r="C81" s="25" t="s">
        <v>67</v>
      </c>
      <c r="D81" s="2">
        <v>1374188.7528432924</v>
      </c>
      <c r="E81" s="2">
        <v>62030834.730631791</v>
      </c>
      <c r="I81" s="30"/>
      <c r="J81" s="31"/>
      <c r="K81" s="32"/>
    </row>
    <row r="82" spans="3:11" x14ac:dyDescent="0.3">
      <c r="C82" s="25" t="s">
        <v>68</v>
      </c>
      <c r="D82" s="2">
        <v>1445455.074270796</v>
      </c>
      <c r="E82" s="2">
        <v>64210140.436948255</v>
      </c>
      <c r="I82" s="30"/>
      <c r="J82" s="31"/>
      <c r="K82" s="32"/>
    </row>
    <row r="83" spans="3:11" x14ac:dyDescent="0.3">
      <c r="C83" s="25" t="s">
        <v>197</v>
      </c>
      <c r="D83" s="2">
        <v>5873425.3498160252</v>
      </c>
      <c r="E83" s="2">
        <v>265656673.50777143</v>
      </c>
      <c r="I83" s="30"/>
      <c r="J83" s="31"/>
      <c r="K83" s="32"/>
    </row>
    <row r="84" spans="3:11" x14ac:dyDescent="0.3">
      <c r="I84" s="30"/>
      <c r="J84" s="31"/>
      <c r="K84" s="32"/>
    </row>
    <row r="85" spans="3:11" x14ac:dyDescent="0.3">
      <c r="I85" s="30"/>
      <c r="J85" s="31"/>
      <c r="K85" s="32"/>
    </row>
    <row r="86" spans="3:11" x14ac:dyDescent="0.3">
      <c r="I86" s="30"/>
      <c r="J86" s="31"/>
      <c r="K86" s="32"/>
    </row>
    <row r="87" spans="3:11" x14ac:dyDescent="0.3">
      <c r="I87" s="30"/>
      <c r="J87" s="31"/>
      <c r="K87" s="32"/>
    </row>
    <row r="88" spans="3:11" x14ac:dyDescent="0.3">
      <c r="I88" s="33"/>
      <c r="J88" s="34"/>
      <c r="K88" s="35"/>
    </row>
    <row r="90" spans="3:11" x14ac:dyDescent="0.3">
      <c r="D90" s="24" t="s">
        <v>196</v>
      </c>
      <c r="E90" t="s">
        <v>199</v>
      </c>
    </row>
    <row r="91" spans="3:11" x14ac:dyDescent="0.3">
      <c r="D91" s="25" t="s">
        <v>82</v>
      </c>
      <c r="E91">
        <v>27</v>
      </c>
    </row>
    <row r="92" spans="3:11" x14ac:dyDescent="0.3">
      <c r="D92" s="25" t="s">
        <v>83</v>
      </c>
      <c r="E92">
        <v>35</v>
      </c>
    </row>
    <row r="93" spans="3:11" x14ac:dyDescent="0.3">
      <c r="D93" s="25" t="s">
        <v>81</v>
      </c>
      <c r="E93">
        <v>38</v>
      </c>
    </row>
    <row r="94" spans="3:11" x14ac:dyDescent="0.3">
      <c r="D94" s="25" t="s">
        <v>197</v>
      </c>
      <c r="E94">
        <v>100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E94FB-36E9-4DCF-AA16-181D1A0CEA88}">
  <dimension ref="A1"/>
  <sheetViews>
    <sheetView tabSelected="1" zoomScale="88" zoomScaleNormal="88" workbookViewId="0">
      <selection activeCell="AA20" sqref="AA2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Shubham Srivastav</cp:lastModifiedBy>
  <dcterms:created xsi:type="dcterms:W3CDTF">2025-10-24T15:51:02Z</dcterms:created>
  <dcterms:modified xsi:type="dcterms:W3CDTF">2025-11-02T15:47:27Z</dcterms:modified>
</cp:coreProperties>
</file>